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rokoreacoltd-my.sharepoint.com/personal/soonilhong_agrokoreacoltd_onmicrosoft_com/Documents/"/>
    </mc:Choice>
  </mc:AlternateContent>
  <xr:revisionPtr revIDLastSave="899" documentId="8_{46AED8BB-4371-4FC5-8437-24E9D2B053C8}" xr6:coauthVersionLast="47" xr6:coauthVersionMax="47" xr10:uidLastSave="{34B75453-E571-44F7-A437-78F663DC5C8E}"/>
  <bookViews>
    <workbookView xWindow="-120" yWindow="-120" windowWidth="29040" windowHeight="15720" firstSheet="1" activeTab="5" xr2:uid="{FA7C9D92-020E-4E35-90B4-476037CDBD4E}"/>
  </bookViews>
  <sheets>
    <sheet name="몬스멕타(가루)" sheetId="1" r:id="rId1"/>
    <sheet name="몬스멕타(1차)" sheetId="2" r:id="rId2"/>
    <sheet name="로타겔(액상-30L)_1차" sheetId="3" r:id="rId3"/>
    <sheet name="몬스멕타(2차)" sheetId="7" r:id="rId4"/>
    <sheet name="몬스멕타(액상-20L)_2차" sheetId="6" r:id="rId5"/>
    <sheet name="몬스멕타(3차)" sheetId="8" r:id="rId6"/>
    <sheet name="몬스멕타(액상-200L)_3차" sheetId="9" r:id="rId7"/>
    <sheet name="몬스멕타(4차)" sheetId="5" r:id="rId8"/>
    <sheet name="몬스멕타(액상-200L)_4차" sheetId="4" r:id="rId9"/>
    <sheet name="몬스멕타(5차)" sheetId="12" r:id="rId10"/>
    <sheet name="몬스멕타(액상-1,000L)_5차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8" l="1"/>
  <c r="G6" i="8"/>
  <c r="G7" i="8"/>
  <c r="G8" i="8"/>
  <c r="G9" i="8"/>
  <c r="G4" i="8"/>
  <c r="F5" i="9"/>
  <c r="F6" i="9"/>
  <c r="F7" i="9"/>
  <c r="F8" i="9"/>
  <c r="F9" i="9"/>
  <c r="F4" i="9"/>
  <c r="H9" i="9"/>
  <c r="D9" i="9"/>
  <c r="D8" i="9"/>
  <c r="D7" i="9"/>
  <c r="D6" i="9"/>
  <c r="D5" i="9"/>
  <c r="D10" i="9" s="1"/>
  <c r="G10" i="8"/>
  <c r="E10" i="8"/>
  <c r="D10" i="8"/>
  <c r="F9" i="8"/>
  <c r="F10" i="8"/>
  <c r="F9" i="7"/>
  <c r="E9" i="8"/>
  <c r="E8" i="8"/>
  <c r="E7" i="8"/>
  <c r="E6" i="8"/>
  <c r="E5" i="8"/>
  <c r="E4" i="8"/>
  <c r="I4" i="5"/>
  <c r="D7" i="6"/>
  <c r="D10" i="6"/>
  <c r="D5" i="6"/>
  <c r="E5" i="6" s="1"/>
  <c r="D6" i="6"/>
  <c r="D8" i="6"/>
  <c r="D9" i="6"/>
  <c r="E9" i="6" s="1"/>
  <c r="G9" i="7"/>
  <c r="G10" i="7"/>
  <c r="F10" i="7"/>
  <c r="E10" i="7"/>
  <c r="D10" i="7"/>
  <c r="E9" i="7"/>
  <c r="F9" i="11"/>
  <c r="F8" i="11"/>
  <c r="F7" i="11"/>
  <c r="F6" i="11"/>
  <c r="F5" i="11"/>
  <c r="F4" i="11"/>
  <c r="G8" i="12"/>
  <c r="G7" i="12"/>
  <c r="G6" i="12"/>
  <c r="G5" i="12"/>
  <c r="G4" i="12"/>
  <c r="G8" i="5"/>
  <c r="G7" i="5"/>
  <c r="G6" i="5"/>
  <c r="G5" i="5"/>
  <c r="G4" i="5"/>
  <c r="F9" i="4"/>
  <c r="F8" i="4"/>
  <c r="F7" i="4"/>
  <c r="F6" i="4"/>
  <c r="F4" i="4"/>
  <c r="F5" i="4"/>
  <c r="C4" i="3"/>
  <c r="E4" i="3" s="1"/>
  <c r="E13" i="12"/>
  <c r="E9" i="12"/>
  <c r="E14" i="12" s="1"/>
  <c r="D9" i="12"/>
  <c r="F8" i="12"/>
  <c r="E8" i="12"/>
  <c r="F7" i="12"/>
  <c r="E7" i="12"/>
  <c r="F6" i="12"/>
  <c r="E6" i="12"/>
  <c r="F5" i="12"/>
  <c r="F9" i="12" s="1"/>
  <c r="E5" i="12"/>
  <c r="H4" i="12"/>
  <c r="F4" i="12"/>
  <c r="E4" i="12"/>
  <c r="E14" i="11"/>
  <c r="D10" i="11"/>
  <c r="E9" i="11"/>
  <c r="E8" i="11"/>
  <c r="E7" i="11"/>
  <c r="E6" i="11"/>
  <c r="E5" i="11"/>
  <c r="E14" i="9"/>
  <c r="E9" i="9"/>
  <c r="E8" i="9"/>
  <c r="E7" i="9"/>
  <c r="E6" i="9"/>
  <c r="E5" i="9"/>
  <c r="E14" i="8"/>
  <c r="F8" i="8"/>
  <c r="F7" i="8"/>
  <c r="F6" i="8"/>
  <c r="F5" i="8"/>
  <c r="F4" i="8"/>
  <c r="G8" i="7"/>
  <c r="G7" i="7"/>
  <c r="G6" i="7"/>
  <c r="G5" i="7"/>
  <c r="G4" i="7"/>
  <c r="E14" i="7"/>
  <c r="F8" i="7"/>
  <c r="E8" i="7"/>
  <c r="F7" i="7"/>
  <c r="E7" i="7"/>
  <c r="F6" i="7"/>
  <c r="E6" i="7"/>
  <c r="F5" i="7"/>
  <c r="E5" i="7"/>
  <c r="F4" i="7"/>
  <c r="E4" i="7"/>
  <c r="F8" i="6"/>
  <c r="F6" i="6"/>
  <c r="F4" i="6"/>
  <c r="E14" i="6"/>
  <c r="E8" i="6"/>
  <c r="E6" i="6"/>
  <c r="G8" i="2"/>
  <c r="G7" i="2"/>
  <c r="G6" i="2"/>
  <c r="G5" i="2"/>
  <c r="G4" i="2"/>
  <c r="G8" i="1"/>
  <c r="G7" i="1"/>
  <c r="G6" i="1"/>
  <c r="G5" i="1"/>
  <c r="G4" i="1"/>
  <c r="D10" i="3"/>
  <c r="E9" i="3"/>
  <c r="F9" i="3"/>
  <c r="D10" i="4"/>
  <c r="E9" i="4"/>
  <c r="E13" i="5"/>
  <c r="D9" i="5"/>
  <c r="F8" i="5"/>
  <c r="E8" i="5"/>
  <c r="F7" i="5"/>
  <c r="F9" i="5" s="1"/>
  <c r="E7" i="5"/>
  <c r="E9" i="5" s="1"/>
  <c r="E14" i="5" s="1"/>
  <c r="F6" i="5"/>
  <c r="E6" i="5"/>
  <c r="F5" i="5"/>
  <c r="E5" i="5"/>
  <c r="F4" i="5"/>
  <c r="E4" i="5"/>
  <c r="E14" i="4"/>
  <c r="E8" i="4"/>
  <c r="E7" i="4"/>
  <c r="E6" i="4"/>
  <c r="E5" i="4"/>
  <c r="F8" i="3"/>
  <c r="F7" i="3"/>
  <c r="F6" i="3"/>
  <c r="F5" i="3"/>
  <c r="F4" i="3"/>
  <c r="E14" i="3"/>
  <c r="E8" i="3"/>
  <c r="E7" i="3"/>
  <c r="E6" i="3"/>
  <c r="E5" i="3"/>
  <c r="E13" i="2"/>
  <c r="D9" i="2"/>
  <c r="F8" i="2"/>
  <c r="E8" i="2"/>
  <c r="F7" i="2"/>
  <c r="E7" i="2"/>
  <c r="F6" i="2"/>
  <c r="E6" i="2"/>
  <c r="F5" i="2"/>
  <c r="F9" i="2" s="1"/>
  <c r="E5" i="2"/>
  <c r="E9" i="2" s="1"/>
  <c r="C4" i="11" s="1"/>
  <c r="E4" i="11" s="1"/>
  <c r="E10" i="11" s="1"/>
  <c r="F4" i="2"/>
  <c r="E4" i="2"/>
  <c r="F5" i="1"/>
  <c r="F6" i="1"/>
  <c r="F7" i="1"/>
  <c r="F8" i="1"/>
  <c r="F4" i="1"/>
  <c r="E6" i="1"/>
  <c r="E7" i="1"/>
  <c r="E8" i="1"/>
  <c r="E13" i="1"/>
  <c r="D9" i="1"/>
  <c r="E5" i="1"/>
  <c r="E4" i="1"/>
  <c r="E15" i="8" l="1"/>
  <c r="C4" i="9" s="1"/>
  <c r="E4" i="9" s="1"/>
  <c r="E10" i="9" s="1"/>
  <c r="E15" i="9" s="1"/>
  <c r="F7" i="6"/>
  <c r="F10" i="6" s="1"/>
  <c r="F14" i="6" s="1"/>
  <c r="E7" i="6"/>
  <c r="F5" i="6"/>
  <c r="F9" i="6"/>
  <c r="E15" i="7"/>
  <c r="C4" i="6" s="1"/>
  <c r="E4" i="6" s="1"/>
  <c r="I4" i="12"/>
  <c r="J4" i="12" s="1"/>
  <c r="J4" i="5"/>
  <c r="E15" i="11"/>
  <c r="H8" i="4"/>
  <c r="I8" i="4" s="1"/>
  <c r="G9" i="12"/>
  <c r="G13" i="12" s="1"/>
  <c r="H4" i="5"/>
  <c r="G14" i="8"/>
  <c r="H4" i="8"/>
  <c r="F10" i="11"/>
  <c r="F14" i="11" s="1"/>
  <c r="F10" i="9"/>
  <c r="F14" i="9" s="1"/>
  <c r="G14" i="7"/>
  <c r="H4" i="7"/>
  <c r="E14" i="2"/>
  <c r="C4" i="4"/>
  <c r="E4" i="4" s="1"/>
  <c r="E10" i="4" s="1"/>
  <c r="E15" i="4" s="1"/>
  <c r="G9" i="5"/>
  <c r="G13" i="5" s="1"/>
  <c r="F10" i="3"/>
  <c r="F14" i="3" s="1"/>
  <c r="H4" i="1"/>
  <c r="E10" i="3"/>
  <c r="E15" i="3" s="1"/>
  <c r="F10" i="4"/>
  <c r="G9" i="2"/>
  <c r="G13" i="2" s="1"/>
  <c r="H4" i="2"/>
  <c r="F9" i="1"/>
  <c r="G9" i="1"/>
  <c r="G13" i="1" s="1"/>
  <c r="E9" i="1"/>
  <c r="E14" i="1" s="1"/>
  <c r="H8" i="11" l="1"/>
  <c r="I8" i="11" s="1"/>
  <c r="E10" i="6"/>
  <c r="E15" i="6" s="1"/>
  <c r="F14" i="4"/>
</calcChain>
</file>

<file path=xl/sharedStrings.xml><?xml version="1.0" encoding="utf-8"?>
<sst xmlns="http://schemas.openxmlformats.org/spreadsheetml/2006/main" count="481" uniqueCount="70">
  <si>
    <t>성   분</t>
    <phoneticPr fontId="2" type="noConversion"/>
  </si>
  <si>
    <t>성분량</t>
    <phoneticPr fontId="2" type="noConversion"/>
  </si>
  <si>
    <t>단가</t>
    <phoneticPr fontId="2" type="noConversion"/>
  </si>
  <si>
    <t>%</t>
    <phoneticPr fontId="2" type="noConversion"/>
  </si>
  <si>
    <t>\/kg</t>
    <phoneticPr fontId="2" type="noConversion"/>
  </si>
  <si>
    <t>비고</t>
    <phoneticPr fontId="2" type="noConversion"/>
  </si>
  <si>
    <t xml:space="preserve"> </t>
    <phoneticPr fontId="2" type="noConversion"/>
  </si>
  <si>
    <t>1.0x10^10 이상/kg</t>
    <phoneticPr fontId="2" type="noConversion"/>
  </si>
  <si>
    <t>소계</t>
    <phoneticPr fontId="2" type="noConversion"/>
  </si>
  <si>
    <t>합 계</t>
    <phoneticPr fontId="2" type="noConversion"/>
  </si>
  <si>
    <t>4. Sodium Acetate</t>
    <phoneticPr fontId="2" type="noConversion"/>
  </si>
  <si>
    <t>5. Sodium Propionate</t>
    <phoneticPr fontId="2" type="noConversion"/>
  </si>
  <si>
    <t>2. Glucose</t>
    <phoneticPr fontId="2" type="noConversion"/>
  </si>
  <si>
    <t>1. LIQI(montmorillonite) 1,000 mesh</t>
    <phoneticPr fontId="2" type="noConversion"/>
  </si>
  <si>
    <t>7. 부자재</t>
    <phoneticPr fontId="2" type="noConversion"/>
  </si>
  <si>
    <t>8. 제조비</t>
    <phoneticPr fontId="2" type="noConversion"/>
  </si>
  <si>
    <t>9. 기타(물류비)</t>
    <phoneticPr fontId="2" type="noConversion"/>
  </si>
  <si>
    <t>항바이러스 기능</t>
    <phoneticPr fontId="2" type="noConversion"/>
  </si>
  <si>
    <t>등록성분</t>
    <phoneticPr fontId="2" type="noConversion"/>
  </si>
  <si>
    <t>3. Vit. A(1,000,000P IU/kg)</t>
    <phoneticPr fontId="2" type="noConversion"/>
  </si>
  <si>
    <t>300,000IU/kg</t>
    <phoneticPr fontId="2" type="noConversion"/>
  </si>
  <si>
    <t>?</t>
    <phoneticPr fontId="2" type="noConversion"/>
  </si>
  <si>
    <r>
      <t xml:space="preserve">1. 부자재비는 10kg 지대 포장( 제품명 : </t>
    </r>
    <r>
      <rPr>
        <b/>
        <sz val="12"/>
        <color theme="1"/>
        <rFont val="맑은 고딕"/>
        <family val="3"/>
        <charset val="129"/>
        <scheme val="minor"/>
      </rPr>
      <t xml:space="preserve">몬스멕타 </t>
    </r>
    <r>
      <rPr>
        <sz val="12"/>
        <color theme="1"/>
        <rFont val="맑은 고딕"/>
        <family val="3"/>
        <charset val="129"/>
        <scheme val="minor"/>
      </rPr>
      <t>또는 항바산</t>
    </r>
    <r>
      <rPr>
        <b/>
        <sz val="12"/>
        <color theme="1"/>
        <rFont val="맑은 고딕"/>
        <family val="3"/>
        <charset val="129"/>
        <scheme val="minor"/>
      </rPr>
      <t xml:space="preserve"> </t>
    </r>
    <r>
      <rPr>
        <sz val="12"/>
        <color theme="1"/>
        <rFont val="맑은 고딕"/>
        <family val="3"/>
        <charset val="129"/>
        <scheme val="minor"/>
      </rPr>
      <t xml:space="preserve"> ) 기준</t>
    </r>
    <phoneticPr fontId="2" type="noConversion"/>
  </si>
  <si>
    <r>
      <t xml:space="preserve">3. 셀라이프 포장( 제품명 : </t>
    </r>
    <r>
      <rPr>
        <b/>
        <sz val="12"/>
        <color theme="1"/>
        <rFont val="맑은 고딕"/>
        <family val="3"/>
        <charset val="129"/>
        <scheme val="minor"/>
      </rPr>
      <t>몬스멕타</t>
    </r>
    <r>
      <rPr>
        <sz val="12"/>
        <color theme="1"/>
        <rFont val="맑은 고딕"/>
        <family val="3"/>
        <charset val="129"/>
        <scheme val="minor"/>
      </rPr>
      <t xml:space="preserve"> 또는 파로코 )시 부자재, 제조비 별도 계산</t>
    </r>
    <phoneticPr fontId="2" type="noConversion"/>
  </si>
  <si>
    <t>몬스멕타</t>
    <phoneticPr fontId="2" type="noConversion"/>
  </si>
  <si>
    <t>( Monsmeta )</t>
    <phoneticPr fontId="2" type="noConversion"/>
  </si>
  <si>
    <r>
      <t xml:space="preserve">2. 100ml, 200ml 디스펜서 포장( 제품명 : </t>
    </r>
    <r>
      <rPr>
        <b/>
        <sz val="12"/>
        <color theme="1"/>
        <rFont val="맑은 고딕"/>
        <family val="3"/>
        <charset val="129"/>
        <scheme val="minor"/>
      </rPr>
      <t>피디겔</t>
    </r>
    <r>
      <rPr>
        <sz val="12"/>
        <color theme="1"/>
        <rFont val="맑은 고딕"/>
        <family val="3"/>
        <charset val="129"/>
        <scheme val="minor"/>
      </rPr>
      <t xml:space="preserve"> 또는 </t>
    </r>
    <r>
      <rPr>
        <b/>
        <sz val="12"/>
        <color theme="1"/>
        <rFont val="맑은 고딕"/>
        <family val="3"/>
        <charset val="129"/>
        <scheme val="minor"/>
      </rPr>
      <t>로타겔</t>
    </r>
    <r>
      <rPr>
        <sz val="12"/>
        <color theme="1"/>
        <rFont val="맑은 고딕"/>
        <family val="3"/>
        <charset val="129"/>
        <scheme val="minor"/>
      </rPr>
      <t xml:space="preserve"> 또는 </t>
    </r>
    <r>
      <rPr>
        <b/>
        <sz val="12"/>
        <color theme="1"/>
        <rFont val="맑은 고딕"/>
        <family val="3"/>
        <charset val="129"/>
        <scheme val="minor"/>
      </rPr>
      <t>몬스멕타</t>
    </r>
    <r>
      <rPr>
        <sz val="12"/>
        <color theme="1"/>
        <rFont val="맑은 고딕"/>
        <family val="3"/>
        <charset val="129"/>
        <scheme val="minor"/>
      </rPr>
      <t xml:space="preserve"> )시 부자재, 제조비 별도 계산</t>
    </r>
    <phoneticPr fontId="2" type="noConversion"/>
  </si>
  <si>
    <t>100g</t>
    <phoneticPr fontId="2" type="noConversion"/>
  </si>
  <si>
    <t>1. 위와 같이 100g을 만든 후 100ml 정제수에 10g, 15g, 20g을 잘 섞어 혼합한 후 상태를 확인한다.</t>
    <phoneticPr fontId="2" type="noConversion"/>
  </si>
  <si>
    <t>2. 24시간후 위 3갸지 시험구 상태를 확인한다.</t>
    <phoneticPr fontId="2" type="noConversion"/>
  </si>
  <si>
    <t>3. 7일후 위 3갸지 시험구 상태를 확인한다.</t>
    <phoneticPr fontId="2" type="noConversion"/>
  </si>
  <si>
    <t>&lt; 액상 현탁액 시험구 시험 제조 &gt;</t>
    <phoneticPr fontId="2" type="noConversion"/>
  </si>
  <si>
    <t>4. 30일후 위 3갸지 시험구 상태를 확인한다.</t>
    <phoneticPr fontId="2" type="noConversion"/>
  </si>
  <si>
    <t>&lt; 액상 현탁액(겔) 시험구 시험 제조 &gt;</t>
    <phoneticPr fontId="2" type="noConversion"/>
  </si>
  <si>
    <t>1. 위와 같이 100g을 만든 후, 미리 만든 겔(정제수 59ml+바실러스 1ml+글리세린 25ml+잔탄검 0.3g) 
     순서대로 혼합한 준비용액 85ml에 위의 몬스멕타 가루 15g 잘 섞어 혼합한 후 상태를 확인한다.
     100ml가 안될 경우 정제수를 추가하여 가급적 100ml를 맞추도록 한다.</t>
    <phoneticPr fontId="2" type="noConversion"/>
  </si>
  <si>
    <r>
      <t xml:space="preserve">2. 100ml, 200ml 디스펜서 포장( 제품명 : </t>
    </r>
    <r>
      <rPr>
        <b/>
        <sz val="12"/>
        <color theme="1"/>
        <rFont val="맑은 고딕"/>
        <family val="3"/>
        <charset val="129"/>
        <scheme val="minor"/>
      </rPr>
      <t>피디겔</t>
    </r>
    <r>
      <rPr>
        <sz val="12"/>
        <color theme="1"/>
        <rFont val="맑은 고딕"/>
        <family val="3"/>
        <charset val="129"/>
        <scheme val="minor"/>
      </rPr>
      <t xml:space="preserve"> 또는 </t>
    </r>
    <r>
      <rPr>
        <b/>
        <sz val="12"/>
        <color theme="1"/>
        <rFont val="맑은 고딕"/>
        <family val="3"/>
        <charset val="129"/>
        <scheme val="minor"/>
      </rPr>
      <t>로타겔</t>
    </r>
    <r>
      <rPr>
        <sz val="12"/>
        <color theme="1"/>
        <rFont val="맑은 고딕"/>
        <family val="3"/>
        <charset val="129"/>
        <scheme val="minor"/>
      </rPr>
      <t xml:space="preserve"> 또는 </t>
    </r>
    <r>
      <rPr>
        <b/>
        <sz val="12"/>
        <color theme="1"/>
        <rFont val="맑은 고딕"/>
        <family val="3"/>
        <charset val="129"/>
        <scheme val="minor"/>
      </rPr>
      <t>파보겔</t>
    </r>
    <r>
      <rPr>
        <sz val="12"/>
        <color theme="1"/>
        <rFont val="맑은 고딕"/>
        <family val="3"/>
        <charset val="129"/>
        <scheme val="minor"/>
      </rPr>
      <t xml:space="preserve"> )시 부자재, 제조비 별도 계산</t>
    </r>
    <phoneticPr fontId="2" type="noConversion"/>
  </si>
  <si>
    <t>1. 몬스멕타</t>
    <phoneticPr fontId="2" type="noConversion"/>
  </si>
  <si>
    <t>2. 글리세린</t>
    <phoneticPr fontId="2" type="noConversion"/>
  </si>
  <si>
    <t>3. 잔탄검</t>
    <phoneticPr fontId="2" type="noConversion"/>
  </si>
  <si>
    <t>4. 정제수</t>
    <phoneticPr fontId="2" type="noConversion"/>
  </si>
  <si>
    <t>5. Bacillus Subtilis</t>
    <phoneticPr fontId="2" type="noConversion"/>
  </si>
  <si>
    <t>30,000ml</t>
    <phoneticPr fontId="2" type="noConversion"/>
  </si>
  <si>
    <t>로타겔</t>
    <phoneticPr fontId="2" type="noConversion"/>
  </si>
  <si>
    <t>( Rotagel )</t>
    <phoneticPr fontId="2" type="noConversion"/>
  </si>
  <si>
    <t>6. 마티바 유화제</t>
    <phoneticPr fontId="2" type="noConversion"/>
  </si>
  <si>
    <t>200개</t>
    <phoneticPr fontId="2" type="noConversion"/>
  </si>
  <si>
    <t>1. 위와 같이 100g을 만든 후, 미리 만든 겔(정제수 57ml+바실러스 1ml+글리세린 25ml+잔탄검 0.3g) 
     순서대로 혼합한 준비용액 85ml에 위의 몬스멕타 가루 15g 잘 섞어 혼합한 후 상태를 확인한다.
     100ml가 안될 경우 정제수를 추가하여 가급적 100ml를 맞추도록 한다.</t>
    <phoneticPr fontId="2" type="noConversion"/>
  </si>
  <si>
    <t>&lt; 액상 현탁액(겔) 시제품 제조 &gt;</t>
    <phoneticPr fontId="2" type="noConversion"/>
  </si>
  <si>
    <t>1. 앞에 시트에서와 같이 3,000g을 만든 후, 미리 만든 겔(정제수 18,510ml+바실러스 300l+글리세린 
    7,500ml+잔탄검 90.0g+유화제 600ml)를 순서대로 혼합한 준비용액 25,500ml에 
    앞의 몬스멕타 가루 4,500g 잘 섞어 혼합한 후, 30,000 ml가 안될 경우 정제수를 추가하여 
    가급적 30,000 ml를 맞추도록 한다. 이것을 100ml 100병, 200ml 100병에 분주한다.</t>
    <phoneticPr fontId="2" type="noConversion"/>
  </si>
  <si>
    <t>3,000g</t>
    <phoneticPr fontId="2" type="noConversion"/>
  </si>
  <si>
    <t xml:space="preserve">    앞의 몬스멕타 가루 30,000g 잘 섞어 혼합한 후, 300,000 ml가 안될 경우 정제수를 추가하여 
    가급적 30,000 ml를 맞추도록 한다. 이것을 100ml 100병, 200ml 100병에 분주한다.</t>
    <phoneticPr fontId="2" type="noConversion"/>
  </si>
  <si>
    <t xml:space="preserve">1. 앞에 시트에서와 같이 30,000g을 만든 후, 미리 만든 겔(정제수 185,100ml+바실러스 3,000ml+글리세린 
    75,000ml+잔탄검 900.0g+유화제 6,000ml)를 순서대로 혼합한 준비용액 270,000ml에 </t>
    <phoneticPr fontId="2" type="noConversion"/>
  </si>
  <si>
    <t>20,000ml</t>
    <phoneticPr fontId="2" type="noConversion"/>
  </si>
  <si>
    <t>2,000g</t>
    <phoneticPr fontId="2" type="noConversion"/>
  </si>
  <si>
    <t>1,000,000ml</t>
    <phoneticPr fontId="2" type="noConversion"/>
  </si>
  <si>
    <t>100,000g</t>
    <phoneticPr fontId="2" type="noConversion"/>
  </si>
  <si>
    <t>200,000ml</t>
    <phoneticPr fontId="2" type="noConversion"/>
  </si>
  <si>
    <t>20,000g</t>
    <phoneticPr fontId="2" type="noConversion"/>
  </si>
  <si>
    <t>500,000IU/kg</t>
    <phoneticPr fontId="2" type="noConversion"/>
  </si>
  <si>
    <t>6. Bacillus Subtilis</t>
    <phoneticPr fontId="2" type="noConversion"/>
  </si>
  <si>
    <t>100ml</t>
    <phoneticPr fontId="2" type="noConversion"/>
  </si>
  <si>
    <t>200ml</t>
    <phoneticPr fontId="2" type="noConversion"/>
  </si>
  <si>
    <t>500ml</t>
    <phoneticPr fontId="2" type="noConversion"/>
  </si>
  <si>
    <t>파보겔</t>
    <phoneticPr fontId="2" type="noConversion"/>
  </si>
  <si>
    <t>500개</t>
    <phoneticPr fontId="2" type="noConversion"/>
  </si>
  <si>
    <t>300개</t>
    <phoneticPr fontId="2" type="noConversion"/>
  </si>
  <si>
    <t>100개</t>
    <phoneticPr fontId="2" type="noConversion"/>
  </si>
  <si>
    <t>9병</t>
    <phoneticPr fontId="2" type="noConversion"/>
  </si>
  <si>
    <t>2L</t>
    <phoneticPr fontId="2" type="noConversion"/>
  </si>
  <si>
    <t>6. Bacillus Subtilis(DNG1000)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</si>
</sst>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.0%"/>
    <numFmt numFmtId="177" formatCode="0.00000%"/>
    <numFmt numFmtId="178" formatCode="_-* #,##0.00_-;\-* #,##0.00_-;_-* &quot;-&quot;_-;_-@_-"/>
    <numFmt numFmtId="179" formatCode="_-* #,##0.000_-;\-* #,##0.000_-;_-* &quot;-&quot;_-;_-@_-"/>
    <numFmt numFmtId="180" formatCode="0.000%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 val="double"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4" xfId="0" applyFont="1" applyBorder="1">
      <alignment vertical="center"/>
    </xf>
    <xf numFmtId="41" fontId="5" fillId="0" borderId="4" xfId="1" applyFont="1" applyFill="1" applyBorder="1">
      <alignment vertical="center"/>
    </xf>
    <xf numFmtId="41" fontId="0" fillId="0" borderId="4" xfId="1" applyFont="1" applyBorder="1">
      <alignment vertical="center"/>
    </xf>
    <xf numFmtId="0" fontId="5" fillId="0" borderId="7" xfId="0" applyFont="1" applyBorder="1">
      <alignment vertical="center"/>
    </xf>
    <xf numFmtId="41" fontId="5" fillId="0" borderId="7" xfId="1" applyFont="1" applyFill="1" applyBorder="1">
      <alignment vertical="center"/>
    </xf>
    <xf numFmtId="0" fontId="5" fillId="0" borderId="7" xfId="0" applyFont="1" applyBorder="1" applyAlignment="1">
      <alignment horizontal="left" vertical="center"/>
    </xf>
    <xf numFmtId="0" fontId="6" fillId="3" borderId="1" xfId="0" applyFont="1" applyFill="1" applyBorder="1">
      <alignment vertical="center"/>
    </xf>
    <xf numFmtId="0" fontId="6" fillId="3" borderId="2" xfId="0" applyFont="1" applyFill="1" applyBorder="1">
      <alignment vertical="center"/>
    </xf>
    <xf numFmtId="176" fontId="5" fillId="3" borderId="2" xfId="1" applyNumberFormat="1" applyFont="1" applyFill="1" applyBorder="1">
      <alignment vertical="center"/>
    </xf>
    <xf numFmtId="41" fontId="0" fillId="3" borderId="1" xfId="0" applyNumberFormat="1" applyFill="1" applyBorder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41" fontId="0" fillId="0" borderId="4" xfId="0" applyNumberFormat="1" applyBorder="1">
      <alignment vertical="center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41" fontId="0" fillId="0" borderId="7" xfId="0" applyNumberFormat="1" applyBorder="1">
      <alignment vertical="center"/>
    </xf>
    <xf numFmtId="41" fontId="0" fillId="0" borderId="10" xfId="0" applyNumberFormat="1" applyBorder="1">
      <alignment vertical="center"/>
    </xf>
    <xf numFmtId="0" fontId="4" fillId="2" borderId="1" xfId="0" applyFont="1" applyFill="1" applyBorder="1">
      <alignment vertical="center"/>
    </xf>
    <xf numFmtId="0" fontId="4" fillId="2" borderId="2" xfId="0" applyFont="1" applyFill="1" applyBorder="1">
      <alignment vertical="center"/>
    </xf>
    <xf numFmtId="41" fontId="0" fillId="0" borderId="0" xfId="1" applyFont="1">
      <alignment vertical="center"/>
    </xf>
    <xf numFmtId="41" fontId="0" fillId="0" borderId="0" xfId="1" applyFont="1" applyAlignment="1">
      <alignment horizontal="center" vertical="center"/>
    </xf>
    <xf numFmtId="41" fontId="7" fillId="0" borderId="0" xfId="1" applyFont="1">
      <alignment vertical="center"/>
    </xf>
    <xf numFmtId="41" fontId="8" fillId="0" borderId="0" xfId="1" applyFon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9" fontId="5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9" fontId="5" fillId="0" borderId="8" xfId="0" applyNumberFormat="1" applyFont="1" applyBorder="1" applyAlignment="1">
      <alignment horizontal="center" vertical="center"/>
    </xf>
    <xf numFmtId="180" fontId="5" fillId="0" borderId="5" xfId="2" applyNumberFormat="1" applyFont="1" applyFill="1" applyBorder="1">
      <alignment vertical="center"/>
    </xf>
    <xf numFmtId="180" fontId="5" fillId="0" borderId="8" xfId="2" applyNumberFormat="1" applyFont="1" applyFill="1" applyBorder="1">
      <alignment vertical="center"/>
    </xf>
    <xf numFmtId="0" fontId="0" fillId="2" borderId="3" xfId="0" applyFill="1" applyBorder="1">
      <alignment vertical="center"/>
    </xf>
    <xf numFmtId="0" fontId="0" fillId="2" borderId="1" xfId="0" applyFill="1" applyBorder="1">
      <alignment vertical="center"/>
    </xf>
    <xf numFmtId="178" fontId="5" fillId="0" borderId="5" xfId="1" applyNumberFormat="1" applyFont="1" applyFill="1" applyBorder="1">
      <alignment vertical="center"/>
    </xf>
    <xf numFmtId="178" fontId="5" fillId="0" borderId="8" xfId="1" applyNumberFormat="1" applyFont="1" applyFill="1" applyBorder="1">
      <alignment vertical="center"/>
    </xf>
    <xf numFmtId="178" fontId="6" fillId="3" borderId="2" xfId="1" applyNumberFormat="1" applyFont="1" applyFill="1" applyBorder="1">
      <alignment vertical="center"/>
    </xf>
    <xf numFmtId="178" fontId="4" fillId="2" borderId="2" xfId="1" applyNumberFormat="1" applyFont="1" applyFill="1" applyBorder="1">
      <alignment vertical="center"/>
    </xf>
    <xf numFmtId="0" fontId="5" fillId="0" borderId="5" xfId="0" applyFont="1" applyBorder="1">
      <alignment vertical="center"/>
    </xf>
    <xf numFmtId="41" fontId="5" fillId="0" borderId="6" xfId="0" applyNumberFormat="1" applyFont="1" applyBorder="1">
      <alignment vertical="center"/>
    </xf>
    <xf numFmtId="0" fontId="5" fillId="0" borderId="8" xfId="0" applyFont="1" applyBorder="1">
      <alignment vertical="center"/>
    </xf>
    <xf numFmtId="41" fontId="5" fillId="0" borderId="9" xfId="0" applyNumberFormat="1" applyFont="1" applyBorder="1">
      <alignment vertical="center"/>
    </xf>
    <xf numFmtId="0" fontId="5" fillId="0" borderId="10" xfId="0" applyFont="1" applyBorder="1">
      <alignment vertical="center"/>
    </xf>
    <xf numFmtId="0" fontId="5" fillId="0" borderId="11" xfId="0" applyFont="1" applyBorder="1">
      <alignment vertical="center"/>
    </xf>
    <xf numFmtId="178" fontId="5" fillId="0" borderId="11" xfId="1" applyNumberFormat="1" applyFont="1" applyFill="1" applyBorder="1">
      <alignment vertical="center"/>
    </xf>
    <xf numFmtId="41" fontId="5" fillId="0" borderId="12" xfId="0" applyNumberFormat="1" applyFont="1" applyBorder="1">
      <alignment vertical="center"/>
    </xf>
    <xf numFmtId="179" fontId="6" fillId="3" borderId="3" xfId="0" applyNumberFormat="1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1" applyNumberFormat="1" applyFont="1">
      <alignment vertical="center"/>
    </xf>
    <xf numFmtId="41" fontId="9" fillId="0" borderId="0" xfId="1" applyFont="1">
      <alignment vertical="center"/>
    </xf>
    <xf numFmtId="41" fontId="9" fillId="0" borderId="0" xfId="1" applyFont="1" applyAlignment="1">
      <alignment horizontal="center" vertical="center"/>
    </xf>
    <xf numFmtId="0" fontId="9" fillId="0" borderId="0" xfId="1" applyNumberFormat="1" applyFont="1" applyAlignment="1">
      <alignment horizontal="left" vertical="center"/>
    </xf>
    <xf numFmtId="0" fontId="9" fillId="0" borderId="0" xfId="0" applyFont="1">
      <alignment vertical="center"/>
    </xf>
    <xf numFmtId="10" fontId="6" fillId="3" borderId="2" xfId="1" applyNumberFormat="1" applyFont="1" applyFill="1" applyBorder="1">
      <alignment vertical="center"/>
    </xf>
    <xf numFmtId="178" fontId="6" fillId="3" borderId="3" xfId="0" applyNumberFormat="1" applyFont="1" applyFill="1" applyBorder="1">
      <alignment vertical="center"/>
    </xf>
    <xf numFmtId="0" fontId="11" fillId="0" borderId="0" xfId="0" applyFont="1" applyAlignment="1">
      <alignment horizontal="left" vertical="center"/>
    </xf>
    <xf numFmtId="41" fontId="6" fillId="0" borderId="7" xfId="1" applyFont="1" applyBorder="1" applyAlignment="1">
      <alignment horizontal="center" vertical="center"/>
    </xf>
    <xf numFmtId="41" fontId="11" fillId="0" borderId="7" xfId="1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 wrapText="1"/>
    </xf>
    <xf numFmtId="178" fontId="6" fillId="3" borderId="13" xfId="1" applyNumberFormat="1" applyFont="1" applyFill="1" applyBorder="1">
      <alignment vertical="center"/>
    </xf>
    <xf numFmtId="178" fontId="5" fillId="0" borderId="6" xfId="1" applyNumberFormat="1" applyFont="1" applyFill="1" applyBorder="1">
      <alignment vertical="center"/>
    </xf>
    <xf numFmtId="178" fontId="5" fillId="0" borderId="9" xfId="1" applyNumberFormat="1" applyFont="1" applyFill="1" applyBorder="1">
      <alignment vertical="center"/>
    </xf>
    <xf numFmtId="178" fontId="5" fillId="0" borderId="12" xfId="1" applyNumberFormat="1" applyFont="1" applyFill="1" applyBorder="1">
      <alignment vertical="center"/>
    </xf>
    <xf numFmtId="178" fontId="4" fillId="2" borderId="13" xfId="1" applyNumberFormat="1" applyFont="1" applyFill="1" applyBorder="1">
      <alignment vertical="center"/>
    </xf>
    <xf numFmtId="41" fontId="11" fillId="0" borderId="0" xfId="1" applyFont="1">
      <alignment vertical="center"/>
    </xf>
    <xf numFmtId="178" fontId="5" fillId="4" borderId="4" xfId="1" applyNumberFormat="1" applyFont="1" applyFill="1" applyBorder="1">
      <alignment vertical="center"/>
    </xf>
    <xf numFmtId="178" fontId="5" fillId="4" borderId="7" xfId="1" applyNumberFormat="1" applyFont="1" applyFill="1" applyBorder="1">
      <alignment vertical="center"/>
    </xf>
    <xf numFmtId="178" fontId="6" fillId="5" borderId="4" xfId="1" applyNumberFormat="1" applyFont="1" applyFill="1" applyBorder="1">
      <alignment vertical="center"/>
    </xf>
    <xf numFmtId="178" fontId="6" fillId="5" borderId="7" xfId="1" applyNumberFormat="1" applyFont="1" applyFill="1" applyBorder="1">
      <alignment vertical="center"/>
    </xf>
    <xf numFmtId="178" fontId="6" fillId="5" borderId="10" xfId="1" applyNumberFormat="1" applyFont="1" applyFill="1" applyBorder="1">
      <alignment vertical="center"/>
    </xf>
    <xf numFmtId="10" fontId="5" fillId="0" borderId="8" xfId="2" applyNumberFormat="1" applyFont="1" applyFill="1" applyBorder="1">
      <alignment vertical="center"/>
    </xf>
    <xf numFmtId="41" fontId="11" fillId="0" borderId="0" xfId="1" applyFont="1" applyAlignment="1">
      <alignment horizontal="center" vertical="center"/>
    </xf>
    <xf numFmtId="0" fontId="11" fillId="0" borderId="0" xfId="0" applyFont="1">
      <alignment vertical="center"/>
    </xf>
    <xf numFmtId="41" fontId="10" fillId="0" borderId="7" xfId="1" applyFont="1" applyBorder="1" applyAlignment="1">
      <alignment horizontal="center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41" fontId="5" fillId="0" borderId="10" xfId="1" applyFont="1" applyFill="1" applyBorder="1">
      <alignment vertical="center"/>
    </xf>
    <xf numFmtId="10" fontId="5" fillId="0" borderId="11" xfId="2" applyNumberFormat="1" applyFont="1" applyFill="1" applyBorder="1">
      <alignment vertical="center"/>
    </xf>
    <xf numFmtId="41" fontId="10" fillId="0" borderId="10" xfId="1" applyFont="1" applyBorder="1" applyAlignment="1">
      <alignment horizontal="center" vertical="center"/>
    </xf>
    <xf numFmtId="178" fontId="6" fillId="5" borderId="14" xfId="1" applyNumberFormat="1" applyFont="1" applyFill="1" applyBorder="1">
      <alignment vertical="center"/>
    </xf>
    <xf numFmtId="10" fontId="5" fillId="4" borderId="5" xfId="2" applyNumberFormat="1" applyFont="1" applyFill="1" applyBorder="1">
      <alignment vertical="center"/>
    </xf>
    <xf numFmtId="0" fontId="5" fillId="4" borderId="4" xfId="0" applyFont="1" applyFill="1" applyBorder="1">
      <alignment vertical="center"/>
    </xf>
    <xf numFmtId="9" fontId="5" fillId="4" borderId="5" xfId="0" applyNumberFormat="1" applyFont="1" applyFill="1" applyBorder="1" applyAlignment="1">
      <alignment horizontal="center" vertical="center"/>
    </xf>
    <xf numFmtId="41" fontId="5" fillId="4" borderId="4" xfId="1" applyFont="1" applyFill="1" applyBorder="1">
      <alignment vertical="center"/>
    </xf>
    <xf numFmtId="178" fontId="5" fillId="4" borderId="5" xfId="1" applyNumberFormat="1" applyFont="1" applyFill="1" applyBorder="1">
      <alignment vertical="center"/>
    </xf>
    <xf numFmtId="178" fontId="6" fillId="4" borderId="4" xfId="1" applyNumberFormat="1" applyFont="1" applyFill="1" applyBorder="1">
      <alignment vertical="center"/>
    </xf>
    <xf numFmtId="41" fontId="0" fillId="4" borderId="4" xfId="1" applyFont="1" applyFill="1" applyBorder="1">
      <alignment vertical="center"/>
    </xf>
    <xf numFmtId="178" fontId="5" fillId="5" borderId="4" xfId="1" applyNumberFormat="1" applyFont="1" applyFill="1" applyBorder="1">
      <alignment vertical="center"/>
    </xf>
    <xf numFmtId="178" fontId="5" fillId="5" borderId="7" xfId="1" applyNumberFormat="1" applyFont="1" applyFill="1" applyBorder="1">
      <alignment vertical="center"/>
    </xf>
    <xf numFmtId="178" fontId="5" fillId="5" borderId="10" xfId="1" applyNumberFormat="1" applyFont="1" applyFill="1" applyBorder="1">
      <alignment vertical="center"/>
    </xf>
    <xf numFmtId="178" fontId="0" fillId="0" borderId="0" xfId="0" applyNumberFormat="1" applyAlignment="1">
      <alignment horizontal="center" vertical="center"/>
    </xf>
    <xf numFmtId="0" fontId="12" fillId="0" borderId="0" xfId="0" applyFont="1">
      <alignment vertical="center"/>
    </xf>
    <xf numFmtId="0" fontId="14" fillId="0" borderId="0" xfId="0" applyFont="1">
      <alignment vertical="center"/>
    </xf>
    <xf numFmtId="178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41" fontId="11" fillId="0" borderId="16" xfId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5" fillId="4" borderId="17" xfId="1" applyNumberFormat="1" applyFont="1" applyFill="1" applyBorder="1">
      <alignment vertical="center"/>
    </xf>
    <xf numFmtId="178" fontId="6" fillId="4" borderId="7" xfId="1" applyNumberFormat="1" applyFont="1" applyFill="1" applyBorder="1">
      <alignment vertical="center"/>
    </xf>
    <xf numFmtId="178" fontId="6" fillId="4" borderId="10" xfId="1" applyNumberFormat="1" applyFont="1" applyFill="1" applyBorder="1">
      <alignment vertical="center"/>
    </xf>
    <xf numFmtId="41" fontId="0" fillId="0" borderId="0" xfId="0" applyNumberForma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1" fontId="15" fillId="0" borderId="0" xfId="1" applyFont="1" applyAlignment="1">
      <alignment horizontal="left" vertical="center" wrapText="1"/>
    </xf>
    <xf numFmtId="0" fontId="13" fillId="0" borderId="1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1" fontId="15" fillId="0" borderId="0" xfId="1" applyFont="1" applyAlignment="1">
      <alignment horizontal="left" vertical="center"/>
    </xf>
    <xf numFmtId="0" fontId="5" fillId="5" borderId="7" xfId="0" applyFont="1" applyFill="1" applyBorder="1" applyAlignment="1">
      <alignment horizontal="left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E617-E47F-42E2-8946-9AA2DD74A8BE}">
  <dimension ref="A1:J27"/>
  <sheetViews>
    <sheetView zoomScaleNormal="100" workbookViewId="0">
      <selection sqref="A1:H1"/>
    </sheetView>
  </sheetViews>
  <sheetFormatPr defaultRowHeight="16.5" x14ac:dyDescent="0.3"/>
  <cols>
    <col min="1" max="1" width="30.25" bestFit="1" customWidth="1"/>
    <col min="2" max="2" width="16" bestFit="1" customWidth="1"/>
    <col min="3" max="3" width="7.5" bestFit="1" customWidth="1"/>
    <col min="4" max="4" width="9.25" bestFit="1" customWidth="1"/>
    <col min="5" max="5" width="9.5" bestFit="1" customWidth="1"/>
    <col min="6" max="6" width="9.5" customWidth="1"/>
    <col min="7" max="7" width="10.5" customWidth="1"/>
    <col min="8" max="8" width="15.25" bestFit="1" customWidth="1"/>
    <col min="9" max="9" width="33.25" style="1" customWidth="1"/>
  </cols>
  <sheetData>
    <row r="1" spans="1:10" ht="30" customHeight="1" x14ac:dyDescent="0.3">
      <c r="A1" s="109" t="s">
        <v>24</v>
      </c>
      <c r="B1" s="109"/>
      <c r="C1" s="109"/>
      <c r="D1" s="109"/>
      <c r="E1" s="109"/>
      <c r="F1" s="109"/>
      <c r="G1" s="109"/>
      <c r="H1" s="109"/>
    </row>
    <row r="2" spans="1:10" ht="30" customHeight="1" x14ac:dyDescent="0.3">
      <c r="A2" s="110" t="s">
        <v>25</v>
      </c>
      <c r="B2" s="111"/>
      <c r="C2" s="111"/>
      <c r="D2" s="111"/>
      <c r="E2" s="111"/>
      <c r="F2" s="111"/>
      <c r="G2" s="111"/>
      <c r="H2" s="111"/>
    </row>
    <row r="3" spans="1:10" ht="33" customHeight="1" x14ac:dyDescent="0.3">
      <c r="A3" s="2" t="s">
        <v>0</v>
      </c>
      <c r="B3" s="3" t="s">
        <v>1</v>
      </c>
      <c r="C3" s="2" t="s">
        <v>2</v>
      </c>
      <c r="D3" s="3" t="s">
        <v>3</v>
      </c>
      <c r="E3" s="4" t="s">
        <v>4</v>
      </c>
      <c r="F3" s="63" t="s">
        <v>27</v>
      </c>
      <c r="G3" s="5" t="s">
        <v>49</v>
      </c>
      <c r="H3" s="6" t="s">
        <v>5</v>
      </c>
    </row>
    <row r="4" spans="1:10" ht="21" customHeight="1" x14ac:dyDescent="0.3">
      <c r="A4" s="7" t="s">
        <v>13</v>
      </c>
      <c r="B4" s="32">
        <v>0.98</v>
      </c>
      <c r="C4" s="8">
        <v>2500</v>
      </c>
      <c r="D4" s="35">
        <v>0.82969999999999999</v>
      </c>
      <c r="E4" s="39">
        <f t="shared" ref="E4" si="0">C4*D4</f>
        <v>2074.25</v>
      </c>
      <c r="F4" s="70">
        <f>+D4*100</f>
        <v>82.97</v>
      </c>
      <c r="G4" s="92">
        <f>+D4*3000</f>
        <v>2489.1</v>
      </c>
      <c r="H4" s="9">
        <f>+F4+G4</f>
        <v>2572.0699999999997</v>
      </c>
      <c r="J4" t="s">
        <v>6</v>
      </c>
    </row>
    <row r="5" spans="1:10" ht="21" customHeight="1" x14ac:dyDescent="0.3">
      <c r="A5" s="10" t="s">
        <v>12</v>
      </c>
      <c r="B5" s="34">
        <v>0.9</v>
      </c>
      <c r="C5" s="11">
        <v>3000</v>
      </c>
      <c r="D5" s="36">
        <v>0.15</v>
      </c>
      <c r="E5" s="40">
        <f>+C5*D5</f>
        <v>450</v>
      </c>
      <c r="F5" s="71">
        <f t="shared" ref="F5:F8" si="1">+D5*100</f>
        <v>15</v>
      </c>
      <c r="G5" s="93">
        <f t="shared" ref="G5:G8" si="2">+D5*3000</f>
        <v>450</v>
      </c>
      <c r="H5" s="62" t="s">
        <v>21</v>
      </c>
      <c r="J5" t="s">
        <v>6</v>
      </c>
    </row>
    <row r="6" spans="1:10" ht="21" customHeight="1" x14ac:dyDescent="0.3">
      <c r="A6" s="10" t="s">
        <v>19</v>
      </c>
      <c r="B6" s="33" t="s">
        <v>20</v>
      </c>
      <c r="C6" s="11">
        <v>77000</v>
      </c>
      <c r="D6" s="36">
        <v>2.9999999999999997E-4</v>
      </c>
      <c r="E6" s="40">
        <f t="shared" ref="E6:E8" si="3">+C6*D6</f>
        <v>23.099999999999998</v>
      </c>
      <c r="F6" s="71">
        <f t="shared" si="1"/>
        <v>0.03</v>
      </c>
      <c r="G6" s="93">
        <f t="shared" si="2"/>
        <v>0.89999999999999991</v>
      </c>
      <c r="H6" s="61" t="s">
        <v>18</v>
      </c>
    </row>
    <row r="7" spans="1:10" ht="21" customHeight="1" x14ac:dyDescent="0.3">
      <c r="A7" s="12" t="s">
        <v>10</v>
      </c>
      <c r="B7" s="34">
        <v>0.95</v>
      </c>
      <c r="C7" s="11">
        <v>13000</v>
      </c>
      <c r="D7" s="36">
        <v>0.01</v>
      </c>
      <c r="E7" s="40">
        <f t="shared" si="3"/>
        <v>130</v>
      </c>
      <c r="F7" s="71">
        <f t="shared" si="1"/>
        <v>1</v>
      </c>
      <c r="G7" s="93">
        <f t="shared" si="2"/>
        <v>30</v>
      </c>
      <c r="H7" s="62" t="s">
        <v>21</v>
      </c>
    </row>
    <row r="8" spans="1:10" ht="21" customHeight="1" x14ac:dyDescent="0.3">
      <c r="A8" s="12" t="s">
        <v>11</v>
      </c>
      <c r="B8" s="34">
        <v>0.95</v>
      </c>
      <c r="C8" s="11">
        <v>4000</v>
      </c>
      <c r="D8" s="36">
        <v>0.01</v>
      </c>
      <c r="E8" s="40">
        <f t="shared" si="3"/>
        <v>40</v>
      </c>
      <c r="F8" s="71">
        <f t="shared" si="1"/>
        <v>1</v>
      </c>
      <c r="G8" s="94">
        <f t="shared" si="2"/>
        <v>30</v>
      </c>
      <c r="H8" s="62" t="s">
        <v>21</v>
      </c>
      <c r="I8" s="60" t="s">
        <v>6</v>
      </c>
    </row>
    <row r="9" spans="1:10" ht="21" customHeight="1" x14ac:dyDescent="0.3">
      <c r="A9" s="13" t="s">
        <v>8</v>
      </c>
      <c r="B9" s="14"/>
      <c r="C9" s="13"/>
      <c r="D9" s="58">
        <f>SUM(D4:D8)</f>
        <v>1</v>
      </c>
      <c r="E9" s="41">
        <f>SUM(E4:E8)</f>
        <v>2717.35</v>
      </c>
      <c r="F9" s="41">
        <f>SUM(F4:F8)</f>
        <v>100</v>
      </c>
      <c r="G9" s="59">
        <f>SUM(G4:G8)</f>
        <v>3000</v>
      </c>
      <c r="H9" s="16"/>
    </row>
    <row r="10" spans="1:10" ht="21" customHeight="1" x14ac:dyDescent="0.3">
      <c r="A10" s="17" t="s">
        <v>14</v>
      </c>
      <c r="B10" s="18"/>
      <c r="C10" s="7"/>
      <c r="D10" s="43"/>
      <c r="E10" s="39">
        <v>100</v>
      </c>
      <c r="F10" s="65"/>
      <c r="G10" s="44" t="s">
        <v>6</v>
      </c>
      <c r="H10" s="19"/>
    </row>
    <row r="11" spans="1:10" ht="21" customHeight="1" x14ac:dyDescent="0.3">
      <c r="A11" s="20" t="s">
        <v>15</v>
      </c>
      <c r="B11" s="21"/>
      <c r="C11" s="10"/>
      <c r="D11" s="45"/>
      <c r="E11" s="40">
        <v>500</v>
      </c>
      <c r="F11" s="66"/>
      <c r="G11" s="46"/>
      <c r="H11" s="22"/>
    </row>
    <row r="12" spans="1:10" ht="21" customHeight="1" x14ac:dyDescent="0.3">
      <c r="A12" s="47" t="s">
        <v>16</v>
      </c>
      <c r="B12" s="48"/>
      <c r="C12" s="47"/>
      <c r="D12" s="48"/>
      <c r="E12" s="49">
        <v>0</v>
      </c>
      <c r="F12" s="67"/>
      <c r="G12" s="50" t="s">
        <v>6</v>
      </c>
      <c r="H12" s="23"/>
    </row>
    <row r="13" spans="1:10" ht="21" customHeight="1" x14ac:dyDescent="0.3">
      <c r="A13" s="13" t="s">
        <v>8</v>
      </c>
      <c r="B13" s="14"/>
      <c r="C13" s="13"/>
      <c r="D13" s="15" t="s">
        <v>6</v>
      </c>
      <c r="E13" s="41">
        <f>+E10+E11+E12</f>
        <v>600</v>
      </c>
      <c r="F13" s="64"/>
      <c r="G13" s="51">
        <f>+G9</f>
        <v>3000</v>
      </c>
      <c r="H13" s="16"/>
    </row>
    <row r="14" spans="1:10" ht="21" customHeight="1" x14ac:dyDescent="0.3">
      <c r="A14" s="24" t="s">
        <v>9</v>
      </c>
      <c r="B14" s="25"/>
      <c r="C14" s="24"/>
      <c r="D14" s="25"/>
      <c r="E14" s="42">
        <f>+E9+E13</f>
        <v>3317.35</v>
      </c>
      <c r="F14" s="68"/>
      <c r="G14" s="37"/>
      <c r="H14" s="38"/>
    </row>
    <row r="16" spans="1:10" s="57" customFormat="1" ht="24" customHeight="1" x14ac:dyDescent="0.3">
      <c r="A16" s="57" t="s">
        <v>22</v>
      </c>
      <c r="I16" s="52"/>
    </row>
    <row r="17" spans="1:9" s="54" customFormat="1" ht="24" customHeight="1" x14ac:dyDescent="0.3">
      <c r="A17" s="53" t="s">
        <v>26</v>
      </c>
      <c r="I17" s="55"/>
    </row>
    <row r="18" spans="1:9" s="54" customFormat="1" ht="24" customHeight="1" x14ac:dyDescent="0.3">
      <c r="A18" s="56" t="s">
        <v>23</v>
      </c>
      <c r="I18" s="55"/>
    </row>
    <row r="19" spans="1:9" s="26" customFormat="1" x14ac:dyDescent="0.3">
      <c r="E19" s="26" t="s">
        <v>6</v>
      </c>
      <c r="I19" s="27"/>
    </row>
    <row r="20" spans="1:9" s="26" customFormat="1" hidden="1" x14ac:dyDescent="0.3">
      <c r="A20" s="69" t="s">
        <v>31</v>
      </c>
      <c r="G20" s="26" t="s">
        <v>6</v>
      </c>
      <c r="I20" s="27"/>
    </row>
    <row r="21" spans="1:9" s="26" customFormat="1" ht="7.9" hidden="1" customHeight="1" x14ac:dyDescent="0.3">
      <c r="A21" s="69"/>
      <c r="I21" s="27"/>
    </row>
    <row r="22" spans="1:9" s="26" customFormat="1" hidden="1" x14ac:dyDescent="0.3">
      <c r="A22" s="28" t="s">
        <v>28</v>
      </c>
      <c r="B22" s="28"/>
      <c r="C22" s="29"/>
      <c r="D22" s="29"/>
      <c r="E22" s="29"/>
      <c r="F22" s="29"/>
      <c r="I22" s="27"/>
    </row>
    <row r="23" spans="1:9" hidden="1" x14ac:dyDescent="0.3">
      <c r="A23" s="28" t="s">
        <v>29</v>
      </c>
      <c r="C23" s="30"/>
      <c r="D23" s="31"/>
    </row>
    <row r="24" spans="1:9" hidden="1" x14ac:dyDescent="0.3">
      <c r="A24" s="28" t="s">
        <v>30</v>
      </c>
      <c r="C24" s="30"/>
      <c r="D24" s="31"/>
    </row>
    <row r="25" spans="1:9" hidden="1" x14ac:dyDescent="0.3">
      <c r="A25" s="28" t="s">
        <v>32</v>
      </c>
    </row>
    <row r="26" spans="1:9" hidden="1" x14ac:dyDescent="0.3"/>
    <row r="27" spans="1:9" hidden="1" x14ac:dyDescent="0.3"/>
  </sheetData>
  <mergeCells count="2">
    <mergeCell ref="A1:H1"/>
    <mergeCell ref="A2:H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0214-C8AB-4AC2-B5DA-D006C1ED0F5E}">
  <dimension ref="A1:J25"/>
  <sheetViews>
    <sheetView topLeftCell="A2" zoomScaleNormal="100" workbookViewId="0">
      <selection activeCell="C5" sqref="C5"/>
    </sheetView>
  </sheetViews>
  <sheetFormatPr defaultRowHeight="16.5" x14ac:dyDescent="0.3"/>
  <cols>
    <col min="1" max="1" width="30.25" bestFit="1" customWidth="1"/>
    <col min="2" max="2" width="16" bestFit="1" customWidth="1"/>
    <col min="3" max="3" width="7.5" bestFit="1" customWidth="1"/>
    <col min="4" max="4" width="9.25" bestFit="1" customWidth="1"/>
    <col min="5" max="5" width="10.5" bestFit="1" customWidth="1"/>
    <col min="6" max="6" width="9.5" customWidth="1"/>
    <col min="7" max="7" width="10.5" customWidth="1"/>
    <col min="8" max="8" width="15.25" bestFit="1" customWidth="1"/>
    <col min="9" max="9" width="33.25" style="1" customWidth="1"/>
  </cols>
  <sheetData>
    <row r="1" spans="1:10" ht="30" customHeight="1" x14ac:dyDescent="0.3">
      <c r="A1" s="109" t="s">
        <v>24</v>
      </c>
      <c r="B1" s="109"/>
      <c r="C1" s="109"/>
      <c r="D1" s="109"/>
      <c r="E1" s="109"/>
      <c r="F1" s="109"/>
      <c r="G1" s="109"/>
      <c r="H1" s="109"/>
    </row>
    <row r="2" spans="1:10" ht="30" customHeight="1" x14ac:dyDescent="0.3">
      <c r="A2" s="110" t="s">
        <v>25</v>
      </c>
      <c r="B2" s="111"/>
      <c r="C2" s="111"/>
      <c r="D2" s="111"/>
      <c r="E2" s="111"/>
      <c r="F2" s="111"/>
      <c r="G2" s="111"/>
      <c r="H2" s="111"/>
    </row>
    <row r="3" spans="1:10" ht="33" customHeight="1" x14ac:dyDescent="0.3">
      <c r="A3" s="2" t="s">
        <v>0</v>
      </c>
      <c r="B3" s="3" t="s">
        <v>1</v>
      </c>
      <c r="C3" s="2" t="s">
        <v>2</v>
      </c>
      <c r="D3" s="3" t="s">
        <v>3</v>
      </c>
      <c r="E3" s="4" t="s">
        <v>4</v>
      </c>
      <c r="F3" s="63" t="s">
        <v>27</v>
      </c>
      <c r="G3" s="5" t="s">
        <v>49</v>
      </c>
      <c r="H3" s="6" t="s">
        <v>5</v>
      </c>
    </row>
    <row r="4" spans="1:10" ht="21" customHeight="1" x14ac:dyDescent="0.3">
      <c r="A4" s="7" t="s">
        <v>13</v>
      </c>
      <c r="B4" s="32">
        <v>0.98</v>
      </c>
      <c r="C4" s="8">
        <v>21700</v>
      </c>
      <c r="D4" s="35">
        <v>0.82969999999999999</v>
      </c>
      <c r="E4" s="39">
        <f t="shared" ref="E4" si="0">C4*D4</f>
        <v>18004.490000000002</v>
      </c>
      <c r="F4" s="70">
        <f>+D4*100</f>
        <v>82.97</v>
      </c>
      <c r="G4" s="72">
        <f>+D4*3000</f>
        <v>2489.1</v>
      </c>
      <c r="H4" s="9">
        <f>+F4+G4</f>
        <v>2572.0699999999997</v>
      </c>
      <c r="J4" t="s">
        <v>6</v>
      </c>
    </row>
    <row r="5" spans="1:10" ht="21" customHeight="1" x14ac:dyDescent="0.3">
      <c r="A5" s="10" t="s">
        <v>12</v>
      </c>
      <c r="B5" s="34">
        <v>0.9</v>
      </c>
      <c r="C5" s="11">
        <v>3000</v>
      </c>
      <c r="D5" s="36">
        <v>0.15</v>
      </c>
      <c r="E5" s="40">
        <f>+C5*D5</f>
        <v>450</v>
      </c>
      <c r="F5" s="71">
        <f t="shared" ref="F5:F8" si="1">+D5*100</f>
        <v>15</v>
      </c>
      <c r="G5" s="73">
        <f t="shared" ref="G5:G8" si="2">+D5*3000</f>
        <v>450</v>
      </c>
      <c r="H5" s="62" t="s">
        <v>21</v>
      </c>
      <c r="J5" t="s">
        <v>6</v>
      </c>
    </row>
    <row r="6" spans="1:10" ht="21" customHeight="1" x14ac:dyDescent="0.3">
      <c r="A6" s="10" t="s">
        <v>19</v>
      </c>
      <c r="B6" s="33" t="s">
        <v>20</v>
      </c>
      <c r="C6" s="11">
        <v>77000</v>
      </c>
      <c r="D6" s="36">
        <v>2.9999999999999997E-4</v>
      </c>
      <c r="E6" s="40">
        <f t="shared" ref="E6:E8" si="3">+C6*D6</f>
        <v>23.099999999999998</v>
      </c>
      <c r="F6" s="71">
        <f t="shared" si="1"/>
        <v>0.03</v>
      </c>
      <c r="G6" s="73">
        <f t="shared" si="2"/>
        <v>0.89999999999999991</v>
      </c>
      <c r="H6" s="61" t="s">
        <v>6</v>
      </c>
    </row>
    <row r="7" spans="1:10" ht="21" customHeight="1" x14ac:dyDescent="0.3">
      <c r="A7" s="12" t="s">
        <v>10</v>
      </c>
      <c r="B7" s="34">
        <v>0.95</v>
      </c>
      <c r="C7" s="11">
        <v>13000</v>
      </c>
      <c r="D7" s="36">
        <v>0.01</v>
      </c>
      <c r="E7" s="40">
        <f t="shared" si="3"/>
        <v>130</v>
      </c>
      <c r="F7" s="71">
        <f t="shared" si="1"/>
        <v>1</v>
      </c>
      <c r="G7" s="73">
        <f t="shared" si="2"/>
        <v>30</v>
      </c>
      <c r="H7" s="62" t="s">
        <v>21</v>
      </c>
    </row>
    <row r="8" spans="1:10" ht="21" customHeight="1" x14ac:dyDescent="0.3">
      <c r="A8" s="12" t="s">
        <v>11</v>
      </c>
      <c r="B8" s="34">
        <v>0.95</v>
      </c>
      <c r="C8" s="11">
        <v>4000</v>
      </c>
      <c r="D8" s="36">
        <v>0.01</v>
      </c>
      <c r="E8" s="40">
        <f t="shared" si="3"/>
        <v>40</v>
      </c>
      <c r="F8" s="71">
        <f t="shared" si="1"/>
        <v>1</v>
      </c>
      <c r="G8" s="73">
        <f t="shared" si="2"/>
        <v>30</v>
      </c>
      <c r="H8" s="62" t="s">
        <v>21</v>
      </c>
      <c r="I8" s="60" t="s">
        <v>6</v>
      </c>
    </row>
    <row r="9" spans="1:10" ht="21" customHeight="1" x14ac:dyDescent="0.3">
      <c r="A9" s="13" t="s">
        <v>8</v>
      </c>
      <c r="B9" s="14"/>
      <c r="C9" s="13"/>
      <c r="D9" s="58">
        <f>SUM(D4:D8)</f>
        <v>1</v>
      </c>
      <c r="E9" s="41">
        <f>SUM(E4:E8)</f>
        <v>18647.59</v>
      </c>
      <c r="F9" s="41">
        <f>SUM(F4:F8)</f>
        <v>100</v>
      </c>
      <c r="G9" s="59">
        <f>SUM(G4:G8)</f>
        <v>3000</v>
      </c>
      <c r="H9" s="16"/>
    </row>
    <row r="10" spans="1:10" ht="21" customHeight="1" x14ac:dyDescent="0.3">
      <c r="A10" s="17" t="s">
        <v>14</v>
      </c>
      <c r="B10" s="18"/>
      <c r="C10" s="7"/>
      <c r="D10" s="43"/>
      <c r="E10" s="39">
        <v>100</v>
      </c>
      <c r="F10" s="65"/>
      <c r="G10" s="44" t="s">
        <v>6</v>
      </c>
      <c r="H10" s="19"/>
    </row>
    <row r="11" spans="1:10" ht="21" customHeight="1" x14ac:dyDescent="0.3">
      <c r="A11" s="20" t="s">
        <v>15</v>
      </c>
      <c r="B11" s="21"/>
      <c r="C11" s="10"/>
      <c r="D11" s="45"/>
      <c r="E11" s="40">
        <v>500</v>
      </c>
      <c r="F11" s="66"/>
      <c r="G11" s="46"/>
      <c r="H11" s="22"/>
    </row>
    <row r="12" spans="1:10" ht="21" customHeight="1" x14ac:dyDescent="0.3">
      <c r="A12" s="47" t="s">
        <v>16</v>
      </c>
      <c r="B12" s="48"/>
      <c r="C12" s="47"/>
      <c r="D12" s="48"/>
      <c r="E12" s="49">
        <v>0</v>
      </c>
      <c r="F12" s="67"/>
      <c r="G12" s="50" t="s">
        <v>6</v>
      </c>
      <c r="H12" s="23"/>
    </row>
    <row r="13" spans="1:10" ht="21" customHeight="1" x14ac:dyDescent="0.3">
      <c r="A13" s="13" t="s">
        <v>8</v>
      </c>
      <c r="B13" s="14"/>
      <c r="C13" s="13"/>
      <c r="D13" s="15" t="s">
        <v>6</v>
      </c>
      <c r="E13" s="41">
        <f>+E10+E11+E12</f>
        <v>600</v>
      </c>
      <c r="F13" s="64"/>
      <c r="G13" s="51">
        <f>+G9</f>
        <v>3000</v>
      </c>
      <c r="H13" s="16"/>
    </row>
    <row r="14" spans="1:10" ht="21" customHeight="1" x14ac:dyDescent="0.3">
      <c r="A14" s="24" t="s">
        <v>9</v>
      </c>
      <c r="B14" s="25"/>
      <c r="C14" s="24"/>
      <c r="D14" s="25"/>
      <c r="E14" s="42">
        <f>+E9+E13</f>
        <v>19247.59</v>
      </c>
      <c r="F14" s="68"/>
      <c r="G14" s="37"/>
      <c r="H14" s="38"/>
    </row>
    <row r="16" spans="1:10" s="57" customFormat="1" ht="24" customHeight="1" x14ac:dyDescent="0.3">
      <c r="A16" s="57" t="s">
        <v>22</v>
      </c>
      <c r="I16" s="52"/>
    </row>
    <row r="17" spans="1:9" s="54" customFormat="1" ht="24" customHeight="1" x14ac:dyDescent="0.3">
      <c r="A17" s="53" t="s">
        <v>35</v>
      </c>
      <c r="I17" s="55"/>
    </row>
    <row r="18" spans="1:9" s="54" customFormat="1" ht="24" customHeight="1" x14ac:dyDescent="0.3">
      <c r="A18" s="56" t="s">
        <v>23</v>
      </c>
      <c r="I18" s="55"/>
    </row>
    <row r="19" spans="1:9" s="26" customFormat="1" x14ac:dyDescent="0.3">
      <c r="E19" s="26" t="s">
        <v>6</v>
      </c>
      <c r="I19" s="27"/>
    </row>
    <row r="20" spans="1:9" s="26" customFormat="1" x14ac:dyDescent="0.3">
      <c r="A20" s="69" t="s">
        <v>33</v>
      </c>
      <c r="G20" s="26" t="s">
        <v>6</v>
      </c>
      <c r="I20" s="27"/>
    </row>
    <row r="21" spans="1:9" s="26" customFormat="1" ht="7.9" customHeight="1" x14ac:dyDescent="0.3">
      <c r="A21" s="69"/>
      <c r="I21" s="27"/>
    </row>
    <row r="22" spans="1:9" s="26" customFormat="1" ht="55.5" customHeight="1" x14ac:dyDescent="0.3">
      <c r="A22" s="112" t="s">
        <v>46</v>
      </c>
      <c r="B22" s="112"/>
      <c r="C22" s="112"/>
      <c r="D22" s="112"/>
      <c r="E22" s="112"/>
      <c r="F22" s="112"/>
      <c r="G22" s="112"/>
      <c r="H22" s="112"/>
      <c r="I22" s="27"/>
    </row>
    <row r="23" spans="1:9" x14ac:dyDescent="0.3">
      <c r="A23" s="28" t="s">
        <v>29</v>
      </c>
      <c r="C23" s="30"/>
      <c r="D23" s="31"/>
    </row>
    <row r="24" spans="1:9" x14ac:dyDescent="0.3">
      <c r="A24" s="28" t="s">
        <v>30</v>
      </c>
      <c r="C24" s="30"/>
      <c r="D24" s="31"/>
    </row>
    <row r="25" spans="1:9" x14ac:dyDescent="0.3">
      <c r="A25" s="28" t="s">
        <v>32</v>
      </c>
    </row>
  </sheetData>
  <mergeCells count="3">
    <mergeCell ref="A1:H1"/>
    <mergeCell ref="A2:H2"/>
    <mergeCell ref="A22:H2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ED5E-250A-4E88-A3D4-FBAF0DC53719}">
  <dimension ref="A1:I22"/>
  <sheetViews>
    <sheetView zoomScaleNormal="100" workbookViewId="0">
      <selection activeCell="C5" sqref="C5"/>
    </sheetView>
  </sheetViews>
  <sheetFormatPr defaultRowHeight="16.5" x14ac:dyDescent="0.3"/>
  <cols>
    <col min="1" max="1" width="30.25" bestFit="1" customWidth="1"/>
    <col min="2" max="2" width="16" bestFit="1" customWidth="1"/>
    <col min="3" max="3" width="7.5" bestFit="1" customWidth="1"/>
    <col min="4" max="4" width="9.25" bestFit="1" customWidth="1"/>
    <col min="5" max="5" width="9.5" bestFit="1" customWidth="1"/>
    <col min="6" max="6" width="11.625" bestFit="1" customWidth="1"/>
    <col min="7" max="7" width="15.25" bestFit="1" customWidth="1"/>
    <col min="8" max="8" width="33.25" style="1" customWidth="1"/>
  </cols>
  <sheetData>
    <row r="1" spans="1:9" ht="36" customHeight="1" x14ac:dyDescent="0.3">
      <c r="A1" s="109" t="s">
        <v>42</v>
      </c>
      <c r="B1" s="109"/>
      <c r="C1" s="109"/>
      <c r="D1" s="109"/>
      <c r="E1" s="109"/>
      <c r="F1" s="109"/>
      <c r="G1" s="109"/>
    </row>
    <row r="2" spans="1:9" ht="27" customHeight="1" x14ac:dyDescent="0.3">
      <c r="A2" s="110" t="s">
        <v>43</v>
      </c>
      <c r="B2" s="111"/>
      <c r="C2" s="111"/>
      <c r="D2" s="111"/>
      <c r="E2" s="111"/>
      <c r="F2" s="111"/>
      <c r="G2" s="111"/>
    </row>
    <row r="3" spans="1:9" ht="33" customHeight="1" x14ac:dyDescent="0.3">
      <c r="A3" s="2" t="s">
        <v>0</v>
      </c>
      <c r="B3" s="3" t="s">
        <v>1</v>
      </c>
      <c r="C3" s="2" t="s">
        <v>2</v>
      </c>
      <c r="D3" s="3" t="s">
        <v>3</v>
      </c>
      <c r="E3" s="4" t="s">
        <v>4</v>
      </c>
      <c r="F3" s="5" t="s">
        <v>41</v>
      </c>
      <c r="G3" s="6" t="s">
        <v>5</v>
      </c>
    </row>
    <row r="4" spans="1:9" ht="21" customHeight="1" x14ac:dyDescent="0.3">
      <c r="A4" s="86" t="s">
        <v>36</v>
      </c>
      <c r="B4" s="87">
        <v>0.98</v>
      </c>
      <c r="C4" s="88">
        <f>+'몬스멕타(1차)'!E14</f>
        <v>19247.59</v>
      </c>
      <c r="D4" s="85">
        <v>0.1</v>
      </c>
      <c r="E4" s="89">
        <f t="shared" ref="E4" si="0">C4*D4</f>
        <v>1924.759</v>
      </c>
      <c r="F4" s="90">
        <f t="shared" ref="F4:F9" si="1">+D4*30000</f>
        <v>3000</v>
      </c>
      <c r="G4" s="91" t="s">
        <v>6</v>
      </c>
      <c r="I4" t="s">
        <v>6</v>
      </c>
    </row>
    <row r="5" spans="1:9" ht="21" customHeight="1" x14ac:dyDescent="0.3">
      <c r="A5" s="10" t="s">
        <v>37</v>
      </c>
      <c r="B5" s="34">
        <v>0.9</v>
      </c>
      <c r="C5" s="11">
        <v>3000</v>
      </c>
      <c r="D5" s="75">
        <v>0.25</v>
      </c>
      <c r="E5" s="40">
        <f>+C5*D5</f>
        <v>750</v>
      </c>
      <c r="F5" s="73">
        <f t="shared" si="1"/>
        <v>7500</v>
      </c>
      <c r="G5" s="62" t="s">
        <v>6</v>
      </c>
      <c r="I5" t="s">
        <v>6</v>
      </c>
    </row>
    <row r="6" spans="1:9" ht="21" customHeight="1" x14ac:dyDescent="0.3">
      <c r="A6" s="10" t="s">
        <v>38</v>
      </c>
      <c r="B6" s="33" t="s">
        <v>6</v>
      </c>
      <c r="C6" s="11">
        <v>77000</v>
      </c>
      <c r="D6" s="75">
        <v>3.0000000000000001E-3</v>
      </c>
      <c r="E6" s="40">
        <f t="shared" ref="E6:E9" si="2">+C6*D6</f>
        <v>231</v>
      </c>
      <c r="F6" s="73">
        <f t="shared" si="1"/>
        <v>90</v>
      </c>
      <c r="G6" s="61" t="s">
        <v>6</v>
      </c>
    </row>
    <row r="7" spans="1:9" ht="21" customHeight="1" x14ac:dyDescent="0.3">
      <c r="A7" s="12" t="s">
        <v>39</v>
      </c>
      <c r="B7" s="34" t="s">
        <v>6</v>
      </c>
      <c r="C7" s="11">
        <v>10</v>
      </c>
      <c r="D7" s="75">
        <v>0.61699999999999999</v>
      </c>
      <c r="E7" s="40">
        <f t="shared" si="2"/>
        <v>6.17</v>
      </c>
      <c r="F7" s="73">
        <f t="shared" si="1"/>
        <v>18510</v>
      </c>
      <c r="G7" s="62" t="s">
        <v>6</v>
      </c>
    </row>
    <row r="8" spans="1:9" ht="21" customHeight="1" x14ac:dyDescent="0.3">
      <c r="A8" s="12" t="s">
        <v>40</v>
      </c>
      <c r="B8" s="33" t="s">
        <v>7</v>
      </c>
      <c r="C8" s="11">
        <v>8500</v>
      </c>
      <c r="D8" s="75">
        <v>0.01</v>
      </c>
      <c r="E8" s="40">
        <f t="shared" si="2"/>
        <v>85</v>
      </c>
      <c r="F8" s="73">
        <f t="shared" si="1"/>
        <v>300</v>
      </c>
      <c r="G8" s="78" t="s">
        <v>17</v>
      </c>
      <c r="H8" s="60" t="s">
        <v>6</v>
      </c>
    </row>
    <row r="9" spans="1:9" ht="21" customHeight="1" x14ac:dyDescent="0.3">
      <c r="A9" s="79" t="s">
        <v>44</v>
      </c>
      <c r="B9" s="80"/>
      <c r="C9" s="81">
        <v>18900</v>
      </c>
      <c r="D9" s="82">
        <v>0.02</v>
      </c>
      <c r="E9" s="49">
        <f t="shared" si="2"/>
        <v>378</v>
      </c>
      <c r="F9" s="84">
        <f t="shared" si="1"/>
        <v>600</v>
      </c>
      <c r="G9" s="83"/>
      <c r="H9" s="60"/>
    </row>
    <row r="10" spans="1:9" ht="21" customHeight="1" x14ac:dyDescent="0.3">
      <c r="A10" s="13" t="s">
        <v>8</v>
      </c>
      <c r="B10" s="14"/>
      <c r="C10" s="13"/>
      <c r="D10" s="58">
        <f>SUM(D4:D9)</f>
        <v>1</v>
      </c>
      <c r="E10" s="41">
        <f>SUM(E4:E9)</f>
        <v>3374.9290000000001</v>
      </c>
      <c r="F10" s="59">
        <f>SUM(F4:F9)</f>
        <v>30000</v>
      </c>
      <c r="G10" s="16"/>
    </row>
    <row r="11" spans="1:9" ht="21" customHeight="1" x14ac:dyDescent="0.3">
      <c r="A11" s="17" t="s">
        <v>14</v>
      </c>
      <c r="B11" s="18"/>
      <c r="C11" s="7"/>
      <c r="D11" s="43"/>
      <c r="E11" s="39">
        <v>500</v>
      </c>
      <c r="F11" s="44" t="s">
        <v>6</v>
      </c>
      <c r="G11" s="19"/>
    </row>
    <row r="12" spans="1:9" ht="21" customHeight="1" x14ac:dyDescent="0.3">
      <c r="A12" s="20" t="s">
        <v>15</v>
      </c>
      <c r="B12" s="21"/>
      <c r="C12" s="10"/>
      <c r="D12" s="45"/>
      <c r="E12" s="40">
        <v>1000</v>
      </c>
      <c r="F12" s="46"/>
      <c r="G12" s="22"/>
    </row>
    <row r="13" spans="1:9" ht="21" customHeight="1" x14ac:dyDescent="0.3">
      <c r="A13" s="47" t="s">
        <v>16</v>
      </c>
      <c r="B13" s="48"/>
      <c r="C13" s="47"/>
      <c r="D13" s="48"/>
      <c r="E13" s="49">
        <v>0</v>
      </c>
      <c r="F13" s="50" t="s">
        <v>6</v>
      </c>
      <c r="G13" s="23"/>
    </row>
    <row r="14" spans="1:9" ht="21" customHeight="1" x14ac:dyDescent="0.3">
      <c r="A14" s="13" t="s">
        <v>8</v>
      </c>
      <c r="B14" s="14"/>
      <c r="C14" s="13"/>
      <c r="D14" s="15" t="s">
        <v>6</v>
      </c>
      <c r="E14" s="41">
        <f>+E11+E12+E13</f>
        <v>1500</v>
      </c>
      <c r="F14" s="59">
        <f>+F10</f>
        <v>30000</v>
      </c>
      <c r="G14" s="16"/>
      <c r="H14" s="60" t="s">
        <v>45</v>
      </c>
    </row>
    <row r="15" spans="1:9" ht="21" customHeight="1" x14ac:dyDescent="0.3">
      <c r="A15" s="24" t="s">
        <v>9</v>
      </c>
      <c r="B15" s="25"/>
      <c r="C15" s="24"/>
      <c r="D15" s="25"/>
      <c r="E15" s="42">
        <f>+E10+E14</f>
        <v>4874.9290000000001</v>
      </c>
      <c r="F15" s="37"/>
      <c r="G15" s="38"/>
    </row>
    <row r="17" spans="1:8" s="57" customFormat="1" ht="24" customHeight="1" x14ac:dyDescent="0.3">
      <c r="A17" s="57" t="s">
        <v>22</v>
      </c>
      <c r="H17" s="52"/>
    </row>
    <row r="18" spans="1:8" s="54" customFormat="1" ht="24" customHeight="1" x14ac:dyDescent="0.3">
      <c r="A18" s="53" t="s">
        <v>35</v>
      </c>
      <c r="H18" s="55"/>
    </row>
    <row r="19" spans="1:8" s="54" customFormat="1" ht="24" customHeight="1" x14ac:dyDescent="0.3">
      <c r="A19" s="56" t="s">
        <v>23</v>
      </c>
      <c r="H19" s="55"/>
    </row>
    <row r="20" spans="1:8" s="26" customFormat="1" x14ac:dyDescent="0.3">
      <c r="E20" s="26" t="s">
        <v>6</v>
      </c>
      <c r="H20" s="27"/>
    </row>
    <row r="21" spans="1:8" s="26" customFormat="1" x14ac:dyDescent="0.3">
      <c r="A21" s="69" t="s">
        <v>47</v>
      </c>
      <c r="F21" s="26" t="s">
        <v>6</v>
      </c>
      <c r="H21" s="27"/>
    </row>
    <row r="22" spans="1:8" s="26" customFormat="1" ht="95.25" customHeight="1" x14ac:dyDescent="0.3">
      <c r="A22" s="112" t="s">
        <v>48</v>
      </c>
      <c r="B22" s="112"/>
      <c r="C22" s="112"/>
      <c r="D22" s="112"/>
      <c r="E22" s="112"/>
      <c r="F22" s="112"/>
      <c r="G22" s="112"/>
      <c r="H22" s="27"/>
    </row>
  </sheetData>
  <mergeCells count="3">
    <mergeCell ref="A1:G1"/>
    <mergeCell ref="A2:G2"/>
    <mergeCell ref="A22:G22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D36DF-50BE-435F-8B04-B4A481A6F065}">
  <dimension ref="A1:J26"/>
  <sheetViews>
    <sheetView zoomScaleNormal="100" workbookViewId="0">
      <selection activeCell="G10" sqref="G10"/>
    </sheetView>
  </sheetViews>
  <sheetFormatPr defaultRowHeight="16.5" x14ac:dyDescent="0.3"/>
  <cols>
    <col min="1" max="1" width="30.25" bestFit="1" customWidth="1"/>
    <col min="2" max="2" width="16" bestFit="1" customWidth="1"/>
    <col min="3" max="3" width="7.5" bestFit="1" customWidth="1"/>
    <col min="4" max="4" width="9.25" bestFit="1" customWidth="1"/>
    <col min="5" max="5" width="10.5" bestFit="1" customWidth="1"/>
    <col min="6" max="6" width="9.5" customWidth="1"/>
    <col min="7" max="7" width="10.5" customWidth="1"/>
    <col min="8" max="8" width="15.25" bestFit="1" customWidth="1"/>
    <col min="9" max="9" width="33.25" style="1" customWidth="1"/>
  </cols>
  <sheetData>
    <row r="1" spans="1:10" ht="30" customHeight="1" x14ac:dyDescent="0.3">
      <c r="A1" s="109" t="s">
        <v>24</v>
      </c>
      <c r="B1" s="109"/>
      <c r="C1" s="109"/>
      <c r="D1" s="109"/>
      <c r="E1" s="109"/>
      <c r="F1" s="109"/>
      <c r="G1" s="109"/>
      <c r="H1" s="109"/>
    </row>
    <row r="2" spans="1:10" ht="30" customHeight="1" x14ac:dyDescent="0.3">
      <c r="A2" s="110" t="s">
        <v>25</v>
      </c>
      <c r="B2" s="111"/>
      <c r="C2" s="111"/>
      <c r="D2" s="111"/>
      <c r="E2" s="111"/>
      <c r="F2" s="111"/>
      <c r="G2" s="111"/>
      <c r="H2" s="111"/>
    </row>
    <row r="3" spans="1:10" ht="33" customHeight="1" x14ac:dyDescent="0.3">
      <c r="A3" s="2" t="s">
        <v>0</v>
      </c>
      <c r="B3" s="3" t="s">
        <v>1</v>
      </c>
      <c r="C3" s="2" t="s">
        <v>2</v>
      </c>
      <c r="D3" s="3" t="s">
        <v>3</v>
      </c>
      <c r="E3" s="4" t="s">
        <v>4</v>
      </c>
      <c r="F3" s="63" t="s">
        <v>27</v>
      </c>
      <c r="G3" s="5" t="s">
        <v>53</v>
      </c>
      <c r="H3" s="6" t="s">
        <v>5</v>
      </c>
    </row>
    <row r="4" spans="1:10" ht="21" customHeight="1" x14ac:dyDescent="0.3">
      <c r="A4" s="7" t="s">
        <v>13</v>
      </c>
      <c r="B4" s="32">
        <v>0.98</v>
      </c>
      <c r="C4" s="8">
        <v>21700</v>
      </c>
      <c r="D4" s="35">
        <v>0.93120000000000003</v>
      </c>
      <c r="E4" s="39">
        <f t="shared" ref="E4" si="0">C4*D4</f>
        <v>20207.04</v>
      </c>
      <c r="F4" s="70">
        <f>+D4*100</f>
        <v>93.12</v>
      </c>
      <c r="G4" s="72">
        <f t="shared" ref="G4:G9" si="1">+D4*2000</f>
        <v>1862.4</v>
      </c>
      <c r="H4" s="9">
        <f>+F4+G4</f>
        <v>1955.52</v>
      </c>
      <c r="J4" t="s">
        <v>6</v>
      </c>
    </row>
    <row r="5" spans="1:10" ht="21" customHeight="1" x14ac:dyDescent="0.3">
      <c r="A5" s="10" t="s">
        <v>12</v>
      </c>
      <c r="B5" s="34">
        <v>0.9</v>
      </c>
      <c r="C5" s="11">
        <v>3000</v>
      </c>
      <c r="D5" s="36">
        <v>0.05</v>
      </c>
      <c r="E5" s="40">
        <f>+C5*D5</f>
        <v>150</v>
      </c>
      <c r="F5" s="71">
        <f t="shared" ref="F5:F8" si="2">+D5*100</f>
        <v>5</v>
      </c>
      <c r="G5" s="73">
        <f t="shared" si="1"/>
        <v>100</v>
      </c>
      <c r="H5" s="62" t="s">
        <v>6</v>
      </c>
      <c r="J5" t="s">
        <v>6</v>
      </c>
    </row>
    <row r="6" spans="1:10" ht="21" customHeight="1" x14ac:dyDescent="0.3">
      <c r="A6" s="10" t="s">
        <v>19</v>
      </c>
      <c r="B6" s="33" t="s">
        <v>58</v>
      </c>
      <c r="C6" s="11">
        <v>77000</v>
      </c>
      <c r="D6" s="36">
        <v>8.0000000000000004E-4</v>
      </c>
      <c r="E6" s="40">
        <f t="shared" ref="E6:E9" si="3">+C6*D6</f>
        <v>61.6</v>
      </c>
      <c r="F6" s="71">
        <f t="shared" si="2"/>
        <v>0.08</v>
      </c>
      <c r="G6" s="73">
        <f t="shared" si="1"/>
        <v>1.6</v>
      </c>
      <c r="H6" s="61" t="s">
        <v>6</v>
      </c>
    </row>
    <row r="7" spans="1:10" ht="21" customHeight="1" x14ac:dyDescent="0.3">
      <c r="A7" s="12" t="s">
        <v>10</v>
      </c>
      <c r="B7" s="34">
        <v>0.95</v>
      </c>
      <c r="C7" s="11">
        <v>13000</v>
      </c>
      <c r="D7" s="36">
        <v>5.0000000000000001E-3</v>
      </c>
      <c r="E7" s="40">
        <f t="shared" si="3"/>
        <v>65</v>
      </c>
      <c r="F7" s="71">
        <f t="shared" si="2"/>
        <v>0.5</v>
      </c>
      <c r="G7" s="73">
        <f t="shared" si="1"/>
        <v>10</v>
      </c>
      <c r="H7" s="62" t="s">
        <v>6</v>
      </c>
    </row>
    <row r="8" spans="1:10" ht="21" customHeight="1" x14ac:dyDescent="0.3">
      <c r="A8" s="12" t="s">
        <v>11</v>
      </c>
      <c r="B8" s="34">
        <v>0.95</v>
      </c>
      <c r="C8" s="11">
        <v>4000</v>
      </c>
      <c r="D8" s="36">
        <v>3.0000000000000001E-3</v>
      </c>
      <c r="E8" s="40">
        <f t="shared" si="3"/>
        <v>12</v>
      </c>
      <c r="F8" s="71">
        <f t="shared" si="2"/>
        <v>0.3</v>
      </c>
      <c r="G8" s="73">
        <f t="shared" si="1"/>
        <v>6</v>
      </c>
      <c r="H8" s="62" t="s">
        <v>6</v>
      </c>
      <c r="I8" s="60" t="s">
        <v>6</v>
      </c>
    </row>
    <row r="9" spans="1:10" ht="21" customHeight="1" x14ac:dyDescent="0.3">
      <c r="A9" s="12" t="s">
        <v>59</v>
      </c>
      <c r="B9" s="33" t="s">
        <v>7</v>
      </c>
      <c r="C9" s="11">
        <v>8500</v>
      </c>
      <c r="D9" s="75">
        <v>0.01</v>
      </c>
      <c r="E9" s="40">
        <f t="shared" si="3"/>
        <v>85</v>
      </c>
      <c r="F9" s="71">
        <f>+D9*100</f>
        <v>1</v>
      </c>
      <c r="G9" s="73">
        <f t="shared" si="1"/>
        <v>20</v>
      </c>
      <c r="H9" s="100"/>
      <c r="I9" s="60"/>
    </row>
    <row r="10" spans="1:10" ht="21" customHeight="1" x14ac:dyDescent="0.3">
      <c r="A10" s="13" t="s">
        <v>8</v>
      </c>
      <c r="B10" s="14"/>
      <c r="C10" s="13"/>
      <c r="D10" s="58">
        <f>SUM(D4:D9)</f>
        <v>1</v>
      </c>
      <c r="E10" s="41">
        <f>SUM(E4:E9)</f>
        <v>20580.64</v>
      </c>
      <c r="F10" s="41">
        <f>SUM(F4:F9)</f>
        <v>100</v>
      </c>
      <c r="G10" s="59">
        <f>SUM(G4:G9)</f>
        <v>2000</v>
      </c>
      <c r="H10" s="16"/>
    </row>
    <row r="11" spans="1:10" ht="21" customHeight="1" x14ac:dyDescent="0.3">
      <c r="A11" s="17" t="s">
        <v>14</v>
      </c>
      <c r="B11" s="18"/>
      <c r="C11" s="7"/>
      <c r="D11" s="43"/>
      <c r="E11" s="39">
        <v>100</v>
      </c>
      <c r="F11" s="65"/>
      <c r="G11" s="44" t="s">
        <v>6</v>
      </c>
      <c r="H11" s="19"/>
    </row>
    <row r="12" spans="1:10" ht="21" customHeight="1" x14ac:dyDescent="0.3">
      <c r="A12" s="20" t="s">
        <v>15</v>
      </c>
      <c r="B12" s="21"/>
      <c r="C12" s="10"/>
      <c r="D12" s="45"/>
      <c r="E12" s="40">
        <v>500</v>
      </c>
      <c r="F12" s="66"/>
      <c r="G12" s="46"/>
      <c r="H12" s="22"/>
    </row>
    <row r="13" spans="1:10" ht="21" customHeight="1" x14ac:dyDescent="0.3">
      <c r="A13" s="47" t="s">
        <v>16</v>
      </c>
      <c r="B13" s="48"/>
      <c r="C13" s="47"/>
      <c r="D13" s="48"/>
      <c r="E13" s="49">
        <v>0</v>
      </c>
      <c r="F13" s="67"/>
      <c r="G13" s="50" t="s">
        <v>6</v>
      </c>
      <c r="H13" s="23"/>
    </row>
    <row r="14" spans="1:10" ht="21" customHeight="1" x14ac:dyDescent="0.3">
      <c r="A14" s="13" t="s">
        <v>8</v>
      </c>
      <c r="B14" s="14"/>
      <c r="C14" s="13"/>
      <c r="D14" s="15" t="s">
        <v>6</v>
      </c>
      <c r="E14" s="41">
        <f>+E11+E12+E13</f>
        <v>600</v>
      </c>
      <c r="F14" s="64"/>
      <c r="G14" s="51">
        <f>+G10</f>
        <v>2000</v>
      </c>
      <c r="H14" s="16"/>
    </row>
    <row r="15" spans="1:10" ht="21" customHeight="1" x14ac:dyDescent="0.3">
      <c r="A15" s="24" t="s">
        <v>9</v>
      </c>
      <c r="B15" s="25"/>
      <c r="C15" s="24"/>
      <c r="D15" s="25"/>
      <c r="E15" s="42">
        <f>+E10+E14</f>
        <v>21180.639999999999</v>
      </c>
      <c r="F15" s="68"/>
      <c r="G15" s="37"/>
      <c r="H15" s="38"/>
    </row>
    <row r="17" spans="1:9" s="57" customFormat="1" ht="24" customHeight="1" x14ac:dyDescent="0.3">
      <c r="A17" s="57" t="s">
        <v>22</v>
      </c>
      <c r="I17" s="52"/>
    </row>
    <row r="18" spans="1:9" s="54" customFormat="1" ht="24" customHeight="1" x14ac:dyDescent="0.3">
      <c r="A18" s="53" t="s">
        <v>35</v>
      </c>
      <c r="I18" s="55"/>
    </row>
    <row r="19" spans="1:9" s="54" customFormat="1" ht="24" customHeight="1" x14ac:dyDescent="0.3">
      <c r="A19" s="56" t="s">
        <v>23</v>
      </c>
      <c r="I19" s="55"/>
    </row>
    <row r="20" spans="1:9" s="26" customFormat="1" x14ac:dyDescent="0.3">
      <c r="E20" s="26" t="s">
        <v>6</v>
      </c>
      <c r="I20" s="27"/>
    </row>
    <row r="21" spans="1:9" s="26" customFormat="1" x14ac:dyDescent="0.3">
      <c r="A21" s="69" t="s">
        <v>33</v>
      </c>
      <c r="G21" s="26" t="s">
        <v>6</v>
      </c>
      <c r="I21" s="27"/>
    </row>
    <row r="22" spans="1:9" s="26" customFormat="1" ht="7.9" customHeight="1" x14ac:dyDescent="0.3">
      <c r="A22" s="69"/>
      <c r="I22" s="27"/>
    </row>
    <row r="23" spans="1:9" s="26" customFormat="1" ht="55.5" customHeight="1" x14ac:dyDescent="0.3">
      <c r="A23" s="112" t="s">
        <v>46</v>
      </c>
      <c r="B23" s="112"/>
      <c r="C23" s="112"/>
      <c r="D23" s="112"/>
      <c r="E23" s="112"/>
      <c r="F23" s="112"/>
      <c r="G23" s="112"/>
      <c r="H23" s="112"/>
      <c r="I23" s="27"/>
    </row>
    <row r="24" spans="1:9" x14ac:dyDescent="0.3">
      <c r="A24" s="28" t="s">
        <v>29</v>
      </c>
      <c r="C24" s="30"/>
      <c r="D24" s="31"/>
    </row>
    <row r="25" spans="1:9" x14ac:dyDescent="0.3">
      <c r="A25" s="28" t="s">
        <v>30</v>
      </c>
      <c r="C25" s="30"/>
      <c r="D25" s="31"/>
    </row>
    <row r="26" spans="1:9" x14ac:dyDescent="0.3">
      <c r="A26" s="28" t="s">
        <v>32</v>
      </c>
    </row>
  </sheetData>
  <mergeCells count="3">
    <mergeCell ref="A1:H1"/>
    <mergeCell ref="A2:H2"/>
    <mergeCell ref="A23:H23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5B45B-D461-4647-990D-0CF18FE07283}">
  <dimension ref="A1:I22"/>
  <sheetViews>
    <sheetView zoomScaleNormal="100" workbookViewId="0">
      <selection activeCell="D4" sqref="D4:D9"/>
    </sheetView>
  </sheetViews>
  <sheetFormatPr defaultRowHeight="16.5" x14ac:dyDescent="0.3"/>
  <cols>
    <col min="1" max="1" width="30.25" bestFit="1" customWidth="1"/>
    <col min="2" max="2" width="16" bestFit="1" customWidth="1"/>
    <col min="3" max="3" width="7.5" bestFit="1" customWidth="1"/>
    <col min="4" max="4" width="9.25" bestFit="1" customWidth="1"/>
    <col min="5" max="5" width="9.5" bestFit="1" customWidth="1"/>
    <col min="6" max="6" width="11.625" bestFit="1" customWidth="1"/>
    <col min="7" max="7" width="15.25" bestFit="1" customWidth="1"/>
    <col min="8" max="8" width="33.25" style="1" customWidth="1"/>
  </cols>
  <sheetData>
    <row r="1" spans="1:9" ht="36" customHeight="1" x14ac:dyDescent="0.3">
      <c r="A1" s="109" t="s">
        <v>24</v>
      </c>
      <c r="B1" s="109"/>
      <c r="C1" s="109"/>
      <c r="D1" s="109"/>
      <c r="E1" s="109"/>
      <c r="F1" s="109"/>
      <c r="G1" s="109"/>
      <c r="H1" s="96"/>
    </row>
    <row r="2" spans="1:9" ht="27" customHeight="1" x14ac:dyDescent="0.3">
      <c r="A2" s="113" t="s">
        <v>25</v>
      </c>
      <c r="B2" s="113"/>
      <c r="C2" s="113"/>
      <c r="D2" s="113"/>
      <c r="E2" s="113"/>
      <c r="F2" s="113"/>
      <c r="G2" s="113"/>
      <c r="H2" s="97"/>
    </row>
    <row r="3" spans="1:9" ht="33" customHeight="1" x14ac:dyDescent="0.3">
      <c r="A3" s="2" t="s">
        <v>0</v>
      </c>
      <c r="B3" s="3" t="s">
        <v>1</v>
      </c>
      <c r="C3" s="2" t="s">
        <v>2</v>
      </c>
      <c r="D3" s="3" t="s">
        <v>3</v>
      </c>
      <c r="E3" s="4" t="s">
        <v>4</v>
      </c>
      <c r="F3" s="5" t="s">
        <v>52</v>
      </c>
      <c r="G3" s="6" t="s">
        <v>5</v>
      </c>
    </row>
    <row r="4" spans="1:9" ht="21" customHeight="1" x14ac:dyDescent="0.3">
      <c r="A4" s="86" t="s">
        <v>36</v>
      </c>
      <c r="B4" s="87">
        <v>0.98</v>
      </c>
      <c r="C4" s="88">
        <f>+'몬스멕타(2차)'!E15</f>
        <v>21180.639999999999</v>
      </c>
      <c r="D4" s="85">
        <v>0.1</v>
      </c>
      <c r="E4" s="89">
        <f t="shared" ref="E4" si="0">C4*D4</f>
        <v>2118.0639999999999</v>
      </c>
      <c r="F4" s="90">
        <f t="shared" ref="F4:F9" si="1">+D4*20000</f>
        <v>2000</v>
      </c>
      <c r="G4" s="91" t="s">
        <v>6</v>
      </c>
      <c r="I4" t="s">
        <v>6</v>
      </c>
    </row>
    <row r="5" spans="1:9" ht="21" customHeight="1" x14ac:dyDescent="0.3">
      <c r="A5" s="10" t="s">
        <v>37</v>
      </c>
      <c r="B5" s="34">
        <v>0.9</v>
      </c>
      <c r="C5" s="11">
        <v>3000</v>
      </c>
      <c r="D5" s="75">
        <f>28.6%*90%</f>
        <v>0.25740000000000002</v>
      </c>
      <c r="E5" s="40">
        <f>+C5*D5</f>
        <v>772.2</v>
      </c>
      <c r="F5" s="73">
        <f t="shared" si="1"/>
        <v>5148</v>
      </c>
      <c r="G5" s="62" t="s">
        <v>6</v>
      </c>
      <c r="I5" t="s">
        <v>6</v>
      </c>
    </row>
    <row r="6" spans="1:9" ht="21" customHeight="1" x14ac:dyDescent="0.3">
      <c r="A6" s="10" t="s">
        <v>38</v>
      </c>
      <c r="B6" s="33" t="s">
        <v>6</v>
      </c>
      <c r="C6" s="11">
        <v>77000</v>
      </c>
      <c r="D6" s="75">
        <f>0.3%*90%</f>
        <v>2.7000000000000001E-3</v>
      </c>
      <c r="E6" s="40">
        <f t="shared" ref="E6:E9" si="2">+C6*D6</f>
        <v>207.9</v>
      </c>
      <c r="F6" s="73">
        <f t="shared" si="1"/>
        <v>54</v>
      </c>
      <c r="G6" s="61" t="s">
        <v>6</v>
      </c>
    </row>
    <row r="7" spans="1:9" ht="21" customHeight="1" x14ac:dyDescent="0.3">
      <c r="A7" s="12" t="s">
        <v>39</v>
      </c>
      <c r="B7" s="34" t="s">
        <v>6</v>
      </c>
      <c r="C7" s="11">
        <v>10</v>
      </c>
      <c r="D7" s="75">
        <f>67.6%*90%+0.0009</f>
        <v>0.60929999999999995</v>
      </c>
      <c r="E7" s="40">
        <f t="shared" si="2"/>
        <v>6.093</v>
      </c>
      <c r="F7" s="73">
        <f t="shared" si="1"/>
        <v>12185.999999999998</v>
      </c>
      <c r="G7" s="62" t="s">
        <v>6</v>
      </c>
    </row>
    <row r="8" spans="1:9" ht="21" customHeight="1" x14ac:dyDescent="0.3">
      <c r="A8" s="12" t="s">
        <v>40</v>
      </c>
      <c r="B8" s="33" t="s">
        <v>7</v>
      </c>
      <c r="C8" s="11">
        <v>8500</v>
      </c>
      <c r="D8" s="75">
        <f>1.1%*90%</f>
        <v>9.9000000000000008E-3</v>
      </c>
      <c r="E8" s="40">
        <f t="shared" si="2"/>
        <v>84.15</v>
      </c>
      <c r="F8" s="73">
        <f t="shared" si="1"/>
        <v>198.00000000000003</v>
      </c>
      <c r="G8" s="78" t="s">
        <v>17</v>
      </c>
      <c r="H8" s="60" t="s">
        <v>6</v>
      </c>
    </row>
    <row r="9" spans="1:9" ht="21" customHeight="1" x14ac:dyDescent="0.3">
      <c r="A9" s="79" t="s">
        <v>44</v>
      </c>
      <c r="B9" s="80"/>
      <c r="C9" s="81">
        <v>18900</v>
      </c>
      <c r="D9" s="82">
        <f>2.3%*90%</f>
        <v>2.07E-2</v>
      </c>
      <c r="E9" s="49">
        <f t="shared" si="2"/>
        <v>391.23</v>
      </c>
      <c r="F9" s="84">
        <f t="shared" si="1"/>
        <v>414</v>
      </c>
      <c r="G9" s="83"/>
      <c r="H9" s="60"/>
    </row>
    <row r="10" spans="1:9" ht="21" customHeight="1" x14ac:dyDescent="0.3">
      <c r="A10" s="13" t="s">
        <v>8</v>
      </c>
      <c r="B10" s="14"/>
      <c r="C10" s="13"/>
      <c r="D10" s="58">
        <f>SUM(D4:D9)</f>
        <v>1</v>
      </c>
      <c r="E10" s="41">
        <f>SUM(E4:E9)</f>
        <v>3579.6370000000002</v>
      </c>
      <c r="F10" s="59">
        <f>SUM(F4:F9)</f>
        <v>20000</v>
      </c>
      <c r="G10" s="16"/>
    </row>
    <row r="11" spans="1:9" ht="21" customHeight="1" x14ac:dyDescent="0.3">
      <c r="A11" s="17" t="s">
        <v>14</v>
      </c>
      <c r="B11" s="18"/>
      <c r="C11" s="7"/>
      <c r="D11" s="43"/>
      <c r="E11" s="39">
        <v>500</v>
      </c>
      <c r="F11" s="44" t="s">
        <v>6</v>
      </c>
      <c r="G11" s="19"/>
    </row>
    <row r="12" spans="1:9" ht="21" customHeight="1" x14ac:dyDescent="0.3">
      <c r="A12" s="20" t="s">
        <v>15</v>
      </c>
      <c r="B12" s="21"/>
      <c r="C12" s="10"/>
      <c r="D12" s="45"/>
      <c r="E12" s="40">
        <v>1000</v>
      </c>
      <c r="F12" s="46"/>
      <c r="G12" s="22"/>
    </row>
    <row r="13" spans="1:9" ht="21" customHeight="1" x14ac:dyDescent="0.3">
      <c r="A13" s="47" t="s">
        <v>16</v>
      </c>
      <c r="B13" s="48"/>
      <c r="C13" s="47"/>
      <c r="D13" s="48"/>
      <c r="E13" s="49">
        <v>0</v>
      </c>
      <c r="F13" s="50" t="s">
        <v>6</v>
      </c>
      <c r="G13" s="23"/>
    </row>
    <row r="14" spans="1:9" ht="21" customHeight="1" x14ac:dyDescent="0.3">
      <c r="A14" s="13" t="s">
        <v>8</v>
      </c>
      <c r="B14" s="14"/>
      <c r="C14" s="13"/>
      <c r="D14" s="15" t="s">
        <v>6</v>
      </c>
      <c r="E14" s="41">
        <f>+E11+E12+E13</f>
        <v>1500</v>
      </c>
      <c r="F14" s="59">
        <f>+F10</f>
        <v>20000</v>
      </c>
      <c r="G14" s="16"/>
      <c r="H14" s="60" t="s">
        <v>45</v>
      </c>
    </row>
    <row r="15" spans="1:9" ht="21" customHeight="1" x14ac:dyDescent="0.3">
      <c r="A15" s="24" t="s">
        <v>9</v>
      </c>
      <c r="B15" s="25"/>
      <c r="C15" s="24"/>
      <c r="D15" s="25"/>
      <c r="E15" s="42">
        <f>+E10+E14</f>
        <v>5079.6370000000006</v>
      </c>
      <c r="F15" s="37"/>
      <c r="G15" s="38"/>
    </row>
    <row r="17" spans="1:8" s="57" customFormat="1" ht="24" customHeight="1" x14ac:dyDescent="0.3">
      <c r="A17" s="57" t="s">
        <v>22</v>
      </c>
      <c r="H17" s="52"/>
    </row>
    <row r="18" spans="1:8" s="54" customFormat="1" ht="24" customHeight="1" x14ac:dyDescent="0.3">
      <c r="A18" s="53" t="s">
        <v>35</v>
      </c>
      <c r="H18" s="55"/>
    </row>
    <row r="19" spans="1:8" s="54" customFormat="1" ht="24" customHeight="1" x14ac:dyDescent="0.3">
      <c r="A19" s="56" t="s">
        <v>23</v>
      </c>
      <c r="H19" s="55"/>
    </row>
    <row r="20" spans="1:8" s="26" customFormat="1" x14ac:dyDescent="0.3">
      <c r="E20" s="26" t="s">
        <v>6</v>
      </c>
      <c r="H20" s="27"/>
    </row>
    <row r="21" spans="1:8" s="26" customFormat="1" x14ac:dyDescent="0.3">
      <c r="A21" s="69" t="s">
        <v>47</v>
      </c>
      <c r="F21" s="26" t="s">
        <v>6</v>
      </c>
      <c r="H21" s="27"/>
    </row>
    <row r="22" spans="1:8" s="26" customFormat="1" ht="95.25" customHeight="1" x14ac:dyDescent="0.3">
      <c r="A22" s="112" t="s">
        <v>48</v>
      </c>
      <c r="B22" s="112"/>
      <c r="C22" s="112"/>
      <c r="D22" s="112"/>
      <c r="E22" s="112"/>
      <c r="F22" s="112"/>
      <c r="G22" s="112"/>
      <c r="H22" s="27"/>
    </row>
  </sheetData>
  <mergeCells count="3">
    <mergeCell ref="A1:G1"/>
    <mergeCell ref="A2:G2"/>
    <mergeCell ref="A22:G22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7BC9-CB2C-4301-AE70-1FDF23EB2D79}">
  <dimension ref="A1:J26"/>
  <sheetViews>
    <sheetView tabSelected="1" zoomScaleNormal="100" workbookViewId="0">
      <selection activeCell="H9" sqref="H9"/>
    </sheetView>
  </sheetViews>
  <sheetFormatPr defaultRowHeight="16.5" x14ac:dyDescent="0.3"/>
  <cols>
    <col min="1" max="1" width="30.25" bestFit="1" customWidth="1"/>
    <col min="2" max="2" width="16" bestFit="1" customWidth="1"/>
    <col min="3" max="3" width="7.5" bestFit="1" customWidth="1"/>
    <col min="4" max="4" width="9.25" bestFit="1" customWidth="1"/>
    <col min="5" max="5" width="10.5" bestFit="1" customWidth="1"/>
    <col min="6" max="6" width="9.5" customWidth="1"/>
    <col min="7" max="7" width="11.625" bestFit="1" customWidth="1"/>
    <col min="8" max="8" width="15.25" bestFit="1" customWidth="1"/>
    <col min="9" max="9" width="33.25" style="1" customWidth="1"/>
  </cols>
  <sheetData>
    <row r="1" spans="1:10" ht="30" customHeight="1" x14ac:dyDescent="0.3">
      <c r="A1" s="109" t="s">
        <v>24</v>
      </c>
      <c r="B1" s="109"/>
      <c r="C1" s="109"/>
      <c r="D1" s="109"/>
      <c r="E1" s="109"/>
      <c r="F1" s="109"/>
      <c r="G1" s="109"/>
      <c r="H1" s="109"/>
    </row>
    <row r="2" spans="1:10" ht="30" customHeight="1" x14ac:dyDescent="0.3">
      <c r="A2" s="110" t="s">
        <v>25</v>
      </c>
      <c r="B2" s="111"/>
      <c r="C2" s="111"/>
      <c r="D2" s="111"/>
      <c r="E2" s="111"/>
      <c r="F2" s="111"/>
      <c r="G2" s="111"/>
      <c r="H2" s="111"/>
    </row>
    <row r="3" spans="1:10" ht="33" customHeight="1" x14ac:dyDescent="0.3">
      <c r="A3" s="2" t="s">
        <v>0</v>
      </c>
      <c r="B3" s="3" t="s">
        <v>1</v>
      </c>
      <c r="C3" s="2" t="s">
        <v>2</v>
      </c>
      <c r="D3" s="3" t="s">
        <v>3</v>
      </c>
      <c r="E3" s="4" t="s">
        <v>4</v>
      </c>
      <c r="F3" s="63" t="s">
        <v>27</v>
      </c>
      <c r="G3" s="5" t="s">
        <v>57</v>
      </c>
      <c r="H3" s="6" t="s">
        <v>5</v>
      </c>
    </row>
    <row r="4" spans="1:10" ht="21" customHeight="1" x14ac:dyDescent="0.3">
      <c r="A4" s="7" t="s">
        <v>13</v>
      </c>
      <c r="B4" s="32">
        <v>0.98</v>
      </c>
      <c r="C4" s="8">
        <v>21700</v>
      </c>
      <c r="D4" s="35">
        <v>0.93120000000000003</v>
      </c>
      <c r="E4" s="39">
        <f t="shared" ref="E4" si="0">C4*D4</f>
        <v>20207.04</v>
      </c>
      <c r="F4" s="70">
        <f>+D4*100</f>
        <v>93.12</v>
      </c>
      <c r="G4" s="72">
        <f>+D4*20000</f>
        <v>18624</v>
      </c>
      <c r="H4" s="9">
        <f>+F4+G4</f>
        <v>18717.12</v>
      </c>
      <c r="J4" t="s">
        <v>6</v>
      </c>
    </row>
    <row r="5" spans="1:10" ht="21" customHeight="1" x14ac:dyDescent="0.3">
      <c r="A5" s="10" t="s">
        <v>12</v>
      </c>
      <c r="B5" s="34">
        <v>0.9</v>
      </c>
      <c r="C5" s="11">
        <v>3000</v>
      </c>
      <c r="D5" s="36">
        <v>0.05</v>
      </c>
      <c r="E5" s="40">
        <f>+C5*D5</f>
        <v>150</v>
      </c>
      <c r="F5" s="71">
        <f t="shared" ref="F5:F8" si="1">+D5*100</f>
        <v>5</v>
      </c>
      <c r="G5" s="73">
        <f t="shared" ref="G5:G9" si="2">+D5*20000</f>
        <v>1000</v>
      </c>
      <c r="H5" s="62" t="s">
        <v>6</v>
      </c>
      <c r="J5" t="s">
        <v>6</v>
      </c>
    </row>
    <row r="6" spans="1:10" ht="21" customHeight="1" x14ac:dyDescent="0.3">
      <c r="A6" s="10" t="s">
        <v>19</v>
      </c>
      <c r="B6" s="33" t="s">
        <v>58</v>
      </c>
      <c r="C6" s="11">
        <v>77000</v>
      </c>
      <c r="D6" s="36">
        <v>8.0000000000000004E-4</v>
      </c>
      <c r="E6" s="40">
        <f t="shared" ref="E6:E9" si="3">+C6*D6</f>
        <v>61.6</v>
      </c>
      <c r="F6" s="71">
        <f t="shared" si="1"/>
        <v>0.08</v>
      </c>
      <c r="G6" s="73">
        <f t="shared" si="2"/>
        <v>16</v>
      </c>
      <c r="H6" s="61" t="s">
        <v>6</v>
      </c>
    </row>
    <row r="7" spans="1:10" ht="21" customHeight="1" x14ac:dyDescent="0.3">
      <c r="A7" s="12" t="s">
        <v>10</v>
      </c>
      <c r="B7" s="34">
        <v>0.95</v>
      </c>
      <c r="C7" s="11">
        <v>13000</v>
      </c>
      <c r="D7" s="36">
        <v>5.0000000000000001E-3</v>
      </c>
      <c r="E7" s="40">
        <f t="shared" si="3"/>
        <v>65</v>
      </c>
      <c r="F7" s="71">
        <f t="shared" si="1"/>
        <v>0.5</v>
      </c>
      <c r="G7" s="73">
        <f t="shared" si="2"/>
        <v>100</v>
      </c>
      <c r="H7" s="62" t="s">
        <v>6</v>
      </c>
    </row>
    <row r="8" spans="1:10" ht="21" customHeight="1" x14ac:dyDescent="0.3">
      <c r="A8" s="12" t="s">
        <v>11</v>
      </c>
      <c r="B8" s="34">
        <v>0.95</v>
      </c>
      <c r="C8" s="11">
        <v>4000</v>
      </c>
      <c r="D8" s="36">
        <v>3.0000000000000001E-3</v>
      </c>
      <c r="E8" s="40">
        <f t="shared" si="3"/>
        <v>12</v>
      </c>
      <c r="F8" s="71">
        <f t="shared" si="1"/>
        <v>0.3</v>
      </c>
      <c r="G8" s="73">
        <f t="shared" si="2"/>
        <v>60</v>
      </c>
      <c r="H8" s="62" t="s">
        <v>6</v>
      </c>
      <c r="I8" s="60" t="s">
        <v>6</v>
      </c>
    </row>
    <row r="9" spans="1:10" ht="21" customHeight="1" x14ac:dyDescent="0.3">
      <c r="A9" s="116" t="s">
        <v>69</v>
      </c>
      <c r="B9" s="33" t="s">
        <v>7</v>
      </c>
      <c r="C9" s="11">
        <v>8500</v>
      </c>
      <c r="D9" s="75">
        <v>0.01</v>
      </c>
      <c r="E9" s="40">
        <f t="shared" si="3"/>
        <v>85</v>
      </c>
      <c r="F9" s="105">
        <f>+D9*100</f>
        <v>1</v>
      </c>
      <c r="G9" s="74">
        <f t="shared" si="2"/>
        <v>200</v>
      </c>
      <c r="H9" s="100"/>
      <c r="I9" s="60"/>
    </row>
    <row r="10" spans="1:10" ht="21" customHeight="1" x14ac:dyDescent="0.3">
      <c r="A10" s="13" t="s">
        <v>8</v>
      </c>
      <c r="B10" s="14"/>
      <c r="C10" s="13"/>
      <c r="D10" s="58">
        <f>SUM(D4:D9)</f>
        <v>1</v>
      </c>
      <c r="E10" s="41">
        <f>SUM(E4:E9)</f>
        <v>20580.64</v>
      </c>
      <c r="F10" s="41">
        <f>SUM(F4:F9)</f>
        <v>100</v>
      </c>
      <c r="G10" s="59">
        <f>SUM(G4:G9)</f>
        <v>20000</v>
      </c>
      <c r="H10" s="16"/>
    </row>
    <row r="11" spans="1:10" ht="21" customHeight="1" x14ac:dyDescent="0.3">
      <c r="A11" s="17" t="s">
        <v>14</v>
      </c>
      <c r="B11" s="18"/>
      <c r="C11" s="7"/>
      <c r="D11" s="43"/>
      <c r="E11" s="39">
        <v>100</v>
      </c>
      <c r="F11" s="65"/>
      <c r="G11" s="44" t="s">
        <v>6</v>
      </c>
      <c r="H11" s="19"/>
    </row>
    <row r="12" spans="1:10" ht="21" customHeight="1" x14ac:dyDescent="0.3">
      <c r="A12" s="20" t="s">
        <v>15</v>
      </c>
      <c r="B12" s="21"/>
      <c r="C12" s="10"/>
      <c r="D12" s="45"/>
      <c r="E12" s="40">
        <v>500</v>
      </c>
      <c r="F12" s="66"/>
      <c r="G12" s="46"/>
      <c r="H12" s="22"/>
    </row>
    <row r="13" spans="1:10" ht="21" customHeight="1" x14ac:dyDescent="0.3">
      <c r="A13" s="47" t="s">
        <v>16</v>
      </c>
      <c r="B13" s="48"/>
      <c r="C13" s="47"/>
      <c r="D13" s="48"/>
      <c r="E13" s="49">
        <v>0</v>
      </c>
      <c r="F13" s="67"/>
      <c r="G13" s="50" t="s">
        <v>6</v>
      </c>
      <c r="H13" s="23"/>
    </row>
    <row r="14" spans="1:10" ht="21" customHeight="1" x14ac:dyDescent="0.3">
      <c r="A14" s="13" t="s">
        <v>8</v>
      </c>
      <c r="B14" s="14"/>
      <c r="C14" s="13"/>
      <c r="D14" s="15" t="s">
        <v>6</v>
      </c>
      <c r="E14" s="41">
        <f>+E11+E12+E13</f>
        <v>600</v>
      </c>
      <c r="F14" s="64"/>
      <c r="G14" s="51">
        <f>+G10</f>
        <v>20000</v>
      </c>
      <c r="H14" s="16"/>
    </row>
    <row r="15" spans="1:10" ht="21" customHeight="1" x14ac:dyDescent="0.3">
      <c r="A15" s="24" t="s">
        <v>9</v>
      </c>
      <c r="B15" s="25"/>
      <c r="C15" s="24"/>
      <c r="D15" s="25"/>
      <c r="E15" s="42">
        <f>+E10+E14</f>
        <v>21180.639999999999</v>
      </c>
      <c r="F15" s="68"/>
      <c r="G15" s="37"/>
      <c r="H15" s="38"/>
    </row>
    <row r="17" spans="1:9" s="57" customFormat="1" ht="24" customHeight="1" x14ac:dyDescent="0.3">
      <c r="A17" s="57" t="s">
        <v>22</v>
      </c>
      <c r="I17" s="52"/>
    </row>
    <row r="18" spans="1:9" s="54" customFormat="1" ht="24" customHeight="1" x14ac:dyDescent="0.3">
      <c r="A18" s="53" t="s">
        <v>35</v>
      </c>
      <c r="I18" s="55"/>
    </row>
    <row r="19" spans="1:9" s="54" customFormat="1" ht="24" customHeight="1" x14ac:dyDescent="0.3">
      <c r="A19" s="56" t="s">
        <v>23</v>
      </c>
      <c r="I19" s="55"/>
    </row>
    <row r="20" spans="1:9" s="26" customFormat="1" x14ac:dyDescent="0.3">
      <c r="E20" s="26" t="s">
        <v>6</v>
      </c>
      <c r="I20" s="27"/>
    </row>
    <row r="21" spans="1:9" s="26" customFormat="1" x14ac:dyDescent="0.3">
      <c r="A21" s="69" t="s">
        <v>33</v>
      </c>
      <c r="G21" s="26" t="s">
        <v>6</v>
      </c>
      <c r="I21" s="27"/>
    </row>
    <row r="22" spans="1:9" s="26" customFormat="1" ht="7.9" customHeight="1" x14ac:dyDescent="0.3">
      <c r="A22" s="69"/>
      <c r="I22" s="27"/>
    </row>
    <row r="23" spans="1:9" s="26" customFormat="1" ht="55.5" customHeight="1" x14ac:dyDescent="0.3">
      <c r="A23" s="112" t="s">
        <v>46</v>
      </c>
      <c r="B23" s="112"/>
      <c r="C23" s="112"/>
      <c r="D23" s="112"/>
      <c r="E23" s="112"/>
      <c r="F23" s="112"/>
      <c r="G23" s="112"/>
      <c r="H23" s="112"/>
      <c r="I23" s="27"/>
    </row>
    <row r="24" spans="1:9" x14ac:dyDescent="0.3">
      <c r="A24" s="28" t="s">
        <v>29</v>
      </c>
      <c r="C24" s="30"/>
      <c r="D24" s="31"/>
    </row>
    <row r="25" spans="1:9" x14ac:dyDescent="0.3">
      <c r="A25" s="28" t="s">
        <v>30</v>
      </c>
      <c r="C25" s="30"/>
      <c r="D25" s="31"/>
    </row>
    <row r="26" spans="1:9" x14ac:dyDescent="0.3">
      <c r="A26" s="28" t="s">
        <v>32</v>
      </c>
    </row>
  </sheetData>
  <mergeCells count="3">
    <mergeCell ref="A1:H1"/>
    <mergeCell ref="A2:H2"/>
    <mergeCell ref="A23:H23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B274-9B5A-4982-8F7F-51E51D1DF63D}">
  <dimension ref="A1:L22"/>
  <sheetViews>
    <sheetView zoomScaleNormal="100" workbookViewId="0">
      <selection sqref="A1:G1"/>
    </sheetView>
  </sheetViews>
  <sheetFormatPr defaultRowHeight="16.5" x14ac:dyDescent="0.3"/>
  <cols>
    <col min="1" max="1" width="30.25" bestFit="1" customWidth="1"/>
    <col min="2" max="2" width="16" bestFit="1" customWidth="1"/>
    <col min="3" max="3" width="7.5" bestFit="1" customWidth="1"/>
    <col min="4" max="4" width="9.25" bestFit="1" customWidth="1"/>
    <col min="5" max="5" width="9.5" bestFit="1" customWidth="1"/>
    <col min="6" max="6" width="11.625" bestFit="1" customWidth="1"/>
    <col min="7" max="7" width="15.25" bestFit="1" customWidth="1"/>
    <col min="8" max="9" width="10.875" style="1" bestFit="1" customWidth="1"/>
    <col min="10" max="12" width="11.875" bestFit="1" customWidth="1"/>
  </cols>
  <sheetData>
    <row r="1" spans="1:12" ht="36" customHeight="1" x14ac:dyDescent="0.3">
      <c r="A1" s="109" t="s">
        <v>24</v>
      </c>
      <c r="B1" s="109"/>
      <c r="C1" s="109"/>
      <c r="D1" s="109"/>
      <c r="E1" s="109"/>
      <c r="F1" s="109"/>
      <c r="G1" s="109"/>
      <c r="H1" s="101"/>
      <c r="I1" s="96"/>
    </row>
    <row r="2" spans="1:12" ht="27" customHeight="1" x14ac:dyDescent="0.3">
      <c r="A2" s="113" t="s">
        <v>25</v>
      </c>
      <c r="B2" s="113"/>
      <c r="C2" s="113"/>
      <c r="D2" s="113"/>
      <c r="E2" s="113"/>
      <c r="F2" s="113"/>
      <c r="G2" s="113"/>
      <c r="H2" s="102"/>
      <c r="I2" s="97"/>
    </row>
    <row r="3" spans="1:12" ht="33" customHeight="1" x14ac:dyDescent="0.3">
      <c r="A3" s="2" t="s">
        <v>0</v>
      </c>
      <c r="B3" s="3" t="s">
        <v>1</v>
      </c>
      <c r="C3" s="2" t="s">
        <v>2</v>
      </c>
      <c r="D3" s="3" t="s">
        <v>3</v>
      </c>
      <c r="E3" s="4" t="s">
        <v>4</v>
      </c>
      <c r="F3" s="5" t="s">
        <v>56</v>
      </c>
      <c r="G3" s="6" t="s">
        <v>5</v>
      </c>
    </row>
    <row r="4" spans="1:12" ht="21" customHeight="1" x14ac:dyDescent="0.3">
      <c r="A4" s="86" t="s">
        <v>36</v>
      </c>
      <c r="B4" s="87">
        <v>0.98</v>
      </c>
      <c r="C4" s="88">
        <f>+'몬스멕타(3차)'!E15</f>
        <v>21180.639999999999</v>
      </c>
      <c r="D4" s="85">
        <v>0.1</v>
      </c>
      <c r="E4" s="89">
        <f t="shared" ref="E4" si="0">C4*D4</f>
        <v>2118.0639999999999</v>
      </c>
      <c r="F4" s="90">
        <f>+D4*200000</f>
        <v>20000</v>
      </c>
      <c r="G4" s="91" t="s">
        <v>6</v>
      </c>
      <c r="J4" t="s">
        <v>6</v>
      </c>
    </row>
    <row r="5" spans="1:12" ht="21" customHeight="1" x14ac:dyDescent="0.3">
      <c r="A5" s="10" t="s">
        <v>37</v>
      </c>
      <c r="B5" s="34">
        <v>0.9</v>
      </c>
      <c r="C5" s="11">
        <v>3000</v>
      </c>
      <c r="D5" s="75">
        <f>28.6%*90%</f>
        <v>0.25740000000000002</v>
      </c>
      <c r="E5" s="40">
        <f>+C5*D5</f>
        <v>772.2</v>
      </c>
      <c r="F5" s="106">
        <f t="shared" ref="F5:F9" si="1">+D5*200000</f>
        <v>51480</v>
      </c>
      <c r="G5" s="62" t="s">
        <v>6</v>
      </c>
      <c r="J5" t="s">
        <v>6</v>
      </c>
    </row>
    <row r="6" spans="1:12" ht="21" customHeight="1" x14ac:dyDescent="0.3">
      <c r="A6" s="10" t="s">
        <v>38</v>
      </c>
      <c r="B6" s="33" t="s">
        <v>6</v>
      </c>
      <c r="C6" s="11">
        <v>77000</v>
      </c>
      <c r="D6" s="75">
        <f>0.3%*90%</f>
        <v>2.7000000000000001E-3</v>
      </c>
      <c r="E6" s="40">
        <f t="shared" ref="E6:E9" si="2">+C6*D6</f>
        <v>207.9</v>
      </c>
      <c r="F6" s="106">
        <f t="shared" si="1"/>
        <v>540</v>
      </c>
      <c r="G6" s="61" t="s">
        <v>6</v>
      </c>
    </row>
    <row r="7" spans="1:12" ht="21" customHeight="1" x14ac:dyDescent="0.3">
      <c r="A7" s="12" t="s">
        <v>39</v>
      </c>
      <c r="B7" s="34" t="s">
        <v>6</v>
      </c>
      <c r="C7" s="11">
        <v>10</v>
      </c>
      <c r="D7" s="75">
        <f>67.6%*90%+0.0009</f>
        <v>0.60929999999999995</v>
      </c>
      <c r="E7" s="40">
        <f t="shared" si="2"/>
        <v>6.093</v>
      </c>
      <c r="F7" s="106">
        <f t="shared" si="1"/>
        <v>121859.99999999999</v>
      </c>
      <c r="G7" s="62" t="s">
        <v>6</v>
      </c>
    </row>
    <row r="8" spans="1:12" ht="21" customHeight="1" x14ac:dyDescent="0.3">
      <c r="A8" s="12" t="s">
        <v>40</v>
      </c>
      <c r="B8" s="33" t="s">
        <v>7</v>
      </c>
      <c r="C8" s="11">
        <v>8500</v>
      </c>
      <c r="D8" s="75">
        <f>1.1%*90%</f>
        <v>9.9000000000000008E-3</v>
      </c>
      <c r="E8" s="40">
        <f t="shared" si="2"/>
        <v>84.15</v>
      </c>
      <c r="F8" s="106">
        <f t="shared" si="1"/>
        <v>1980.0000000000002</v>
      </c>
      <c r="G8" s="78" t="s">
        <v>17</v>
      </c>
      <c r="H8" s="99" t="s">
        <v>68</v>
      </c>
      <c r="I8" s="60"/>
    </row>
    <row r="9" spans="1:12" ht="21" customHeight="1" x14ac:dyDescent="0.3">
      <c r="A9" s="79" t="s">
        <v>44</v>
      </c>
      <c r="B9" s="80"/>
      <c r="C9" s="81">
        <v>18900</v>
      </c>
      <c r="D9" s="82">
        <f>2.3%*90%</f>
        <v>2.07E-2</v>
      </c>
      <c r="E9" s="49">
        <f t="shared" si="2"/>
        <v>391.23</v>
      </c>
      <c r="F9" s="107">
        <f t="shared" si="1"/>
        <v>4140</v>
      </c>
      <c r="G9" s="83"/>
      <c r="H9" s="99">
        <f>+F9/500</f>
        <v>8.2799999999999994</v>
      </c>
      <c r="I9" s="99" t="s">
        <v>67</v>
      </c>
    </row>
    <row r="10" spans="1:12" ht="21" customHeight="1" x14ac:dyDescent="0.3">
      <c r="A10" s="13" t="s">
        <v>8</v>
      </c>
      <c r="B10" s="14"/>
      <c r="C10" s="13"/>
      <c r="D10" s="58">
        <f>SUM(D4:D9)</f>
        <v>1</v>
      </c>
      <c r="E10" s="41">
        <f>SUM(E4:E9)</f>
        <v>3579.6370000000002</v>
      </c>
      <c r="F10" s="59">
        <f>SUM(F4:F9)</f>
        <v>200000</v>
      </c>
      <c r="G10" s="16"/>
    </row>
    <row r="11" spans="1:12" ht="21" customHeight="1" x14ac:dyDescent="0.3">
      <c r="A11" s="17" t="s">
        <v>14</v>
      </c>
      <c r="B11" s="18"/>
      <c r="C11" s="7"/>
      <c r="D11" s="43"/>
      <c r="E11" s="39">
        <v>500</v>
      </c>
      <c r="F11" s="44" t="s">
        <v>6</v>
      </c>
      <c r="G11" s="19"/>
    </row>
    <row r="12" spans="1:12" ht="21" customHeight="1" x14ac:dyDescent="0.3">
      <c r="A12" s="20" t="s">
        <v>15</v>
      </c>
      <c r="B12" s="21"/>
      <c r="C12" s="10"/>
      <c r="D12" s="45"/>
      <c r="E12" s="40">
        <v>1000</v>
      </c>
      <c r="F12" s="46"/>
      <c r="G12" s="22"/>
      <c r="H12" s="103" t="s">
        <v>24</v>
      </c>
      <c r="I12" s="114" t="s">
        <v>63</v>
      </c>
      <c r="J12" s="114"/>
      <c r="K12" s="114"/>
    </row>
    <row r="13" spans="1:12" ht="21" customHeight="1" x14ac:dyDescent="0.3">
      <c r="A13" s="47" t="s">
        <v>16</v>
      </c>
      <c r="B13" s="48"/>
      <c r="C13" s="47"/>
      <c r="D13" s="48"/>
      <c r="E13" s="49">
        <v>0</v>
      </c>
      <c r="F13" s="50" t="s">
        <v>6</v>
      </c>
      <c r="G13" s="23"/>
      <c r="H13" s="104" t="s">
        <v>60</v>
      </c>
      <c r="I13" s="104" t="s">
        <v>60</v>
      </c>
      <c r="J13" s="104" t="s">
        <v>61</v>
      </c>
      <c r="K13" s="104" t="s">
        <v>62</v>
      </c>
    </row>
    <row r="14" spans="1:12" ht="21" customHeight="1" x14ac:dyDescent="0.3">
      <c r="A14" s="13" t="s">
        <v>8</v>
      </c>
      <c r="B14" s="14"/>
      <c r="C14" s="13"/>
      <c r="D14" s="15" t="s">
        <v>6</v>
      </c>
      <c r="E14" s="41">
        <f>+E11+E12+E13</f>
        <v>1500</v>
      </c>
      <c r="F14" s="59">
        <f>+F10</f>
        <v>200000</v>
      </c>
      <c r="G14" s="16"/>
      <c r="H14" s="103" t="s">
        <v>65</v>
      </c>
      <c r="I14" s="103" t="s">
        <v>45</v>
      </c>
      <c r="J14" s="103" t="s">
        <v>64</v>
      </c>
      <c r="K14" s="103" t="s">
        <v>66</v>
      </c>
    </row>
    <row r="15" spans="1:12" ht="21" customHeight="1" x14ac:dyDescent="0.3">
      <c r="A15" s="24" t="s">
        <v>9</v>
      </c>
      <c r="B15" s="25"/>
      <c r="C15" s="24"/>
      <c r="D15" s="25"/>
      <c r="E15" s="42">
        <f>+E10+E14</f>
        <v>5079.6370000000006</v>
      </c>
      <c r="F15" s="37"/>
      <c r="G15" s="38"/>
      <c r="H15" s="27"/>
      <c r="I15" s="27"/>
      <c r="J15" s="26"/>
      <c r="K15" s="26"/>
      <c r="L15" s="26"/>
    </row>
    <row r="16" spans="1:12" x14ac:dyDescent="0.3">
      <c r="H16" s="27"/>
      <c r="I16" s="27"/>
      <c r="J16" s="27"/>
      <c r="K16" s="27"/>
      <c r="L16" s="108"/>
    </row>
    <row r="17" spans="1:9" s="57" customFormat="1" ht="24" customHeight="1" x14ac:dyDescent="0.3">
      <c r="A17" s="57" t="s">
        <v>22</v>
      </c>
      <c r="H17" s="52"/>
      <c r="I17" s="52"/>
    </row>
    <row r="18" spans="1:9" s="54" customFormat="1" ht="24" customHeight="1" x14ac:dyDescent="0.3">
      <c r="A18" s="53" t="s">
        <v>35</v>
      </c>
      <c r="H18" s="55"/>
      <c r="I18" s="55"/>
    </row>
    <row r="19" spans="1:9" s="54" customFormat="1" ht="24" customHeight="1" x14ac:dyDescent="0.3">
      <c r="A19" s="56" t="s">
        <v>23</v>
      </c>
      <c r="H19" s="55"/>
      <c r="I19" s="55"/>
    </row>
    <row r="20" spans="1:9" s="26" customFormat="1" x14ac:dyDescent="0.3">
      <c r="E20" s="26" t="s">
        <v>6</v>
      </c>
      <c r="H20" s="27"/>
      <c r="I20" s="27"/>
    </row>
    <row r="21" spans="1:9" s="26" customFormat="1" x14ac:dyDescent="0.3">
      <c r="A21" s="69" t="s">
        <v>47</v>
      </c>
      <c r="F21" s="26" t="s">
        <v>6</v>
      </c>
      <c r="H21" s="27"/>
      <c r="I21" s="27"/>
    </row>
    <row r="22" spans="1:9" s="26" customFormat="1" ht="95.25" customHeight="1" x14ac:dyDescent="0.3">
      <c r="A22" s="112" t="s">
        <v>48</v>
      </c>
      <c r="B22" s="112"/>
      <c r="C22" s="112"/>
      <c r="D22" s="112"/>
      <c r="E22" s="112"/>
      <c r="F22" s="112"/>
      <c r="G22" s="112"/>
      <c r="H22" s="27"/>
      <c r="I22" s="27"/>
    </row>
  </sheetData>
  <mergeCells count="4">
    <mergeCell ref="A1:G1"/>
    <mergeCell ref="A2:G2"/>
    <mergeCell ref="A22:G22"/>
    <mergeCell ref="I12:K12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4824-08AA-46F5-83E7-4FFC07632627}">
  <dimension ref="A1:J25"/>
  <sheetViews>
    <sheetView zoomScaleNormal="100" workbookViewId="0">
      <selection activeCell="G9" sqref="G9"/>
    </sheetView>
  </sheetViews>
  <sheetFormatPr defaultRowHeight="16.5" x14ac:dyDescent="0.3"/>
  <cols>
    <col min="1" max="1" width="30.25" bestFit="1" customWidth="1"/>
    <col min="2" max="2" width="16" bestFit="1" customWidth="1"/>
    <col min="3" max="3" width="7.5" bestFit="1" customWidth="1"/>
    <col min="4" max="4" width="9.25" bestFit="1" customWidth="1"/>
    <col min="5" max="5" width="10.5" bestFit="1" customWidth="1"/>
    <col min="6" max="6" width="9.5" customWidth="1"/>
    <col min="7" max="7" width="11.625" bestFit="1" customWidth="1"/>
    <col min="8" max="8" width="15.25" bestFit="1" customWidth="1"/>
    <col min="9" max="9" width="11.875" style="1" bestFit="1" customWidth="1"/>
  </cols>
  <sheetData>
    <row r="1" spans="1:10" ht="30" customHeight="1" x14ac:dyDescent="0.3">
      <c r="A1" s="109" t="s">
        <v>24</v>
      </c>
      <c r="B1" s="109"/>
      <c r="C1" s="109"/>
      <c r="D1" s="109"/>
      <c r="E1" s="109"/>
      <c r="F1" s="109"/>
      <c r="G1" s="109"/>
      <c r="H1" s="109"/>
    </row>
    <row r="2" spans="1:10" ht="30" customHeight="1" x14ac:dyDescent="0.3">
      <c r="A2" s="110" t="s">
        <v>25</v>
      </c>
      <c r="B2" s="111"/>
      <c r="C2" s="111"/>
      <c r="D2" s="111"/>
      <c r="E2" s="111"/>
      <c r="F2" s="111"/>
      <c r="G2" s="111"/>
      <c r="H2" s="111"/>
    </row>
    <row r="3" spans="1:10" ht="33" customHeight="1" x14ac:dyDescent="0.3">
      <c r="A3" s="2" t="s">
        <v>0</v>
      </c>
      <c r="B3" s="3" t="s">
        <v>1</v>
      </c>
      <c r="C3" s="2" t="s">
        <v>2</v>
      </c>
      <c r="D3" s="3" t="s">
        <v>3</v>
      </c>
      <c r="E3" s="4" t="s">
        <v>4</v>
      </c>
      <c r="F3" s="63" t="s">
        <v>27</v>
      </c>
      <c r="G3" s="5" t="s">
        <v>57</v>
      </c>
      <c r="H3" s="6" t="s">
        <v>5</v>
      </c>
    </row>
    <row r="4" spans="1:10" ht="21" customHeight="1" x14ac:dyDescent="0.3">
      <c r="A4" s="7" t="s">
        <v>13</v>
      </c>
      <c r="B4" s="32">
        <v>0.98</v>
      </c>
      <c r="C4" s="8">
        <v>21700</v>
      </c>
      <c r="D4" s="35">
        <v>0.82969999999999999</v>
      </c>
      <c r="E4" s="39">
        <f t="shared" ref="E4" si="0">C4*D4</f>
        <v>18004.490000000002</v>
      </c>
      <c r="F4" s="70">
        <f>+D4*100</f>
        <v>82.97</v>
      </c>
      <c r="G4" s="72">
        <f>+D4*20000</f>
        <v>16594</v>
      </c>
      <c r="H4" s="9">
        <f>+F4+G4</f>
        <v>16676.97</v>
      </c>
      <c r="I4" s="95">
        <f>+G4+'몬스멕타(3차)'!G4</f>
        <v>35218</v>
      </c>
      <c r="J4">
        <f>+I4/1000/25</f>
        <v>1.4087200000000002</v>
      </c>
    </row>
    <row r="5" spans="1:10" ht="21" customHeight="1" x14ac:dyDescent="0.3">
      <c r="A5" s="10" t="s">
        <v>12</v>
      </c>
      <c r="B5" s="34">
        <v>0.9</v>
      </c>
      <c r="C5" s="11">
        <v>3000</v>
      </c>
      <c r="D5" s="36">
        <v>0.15</v>
      </c>
      <c r="E5" s="40">
        <f>+C5*D5</f>
        <v>450</v>
      </c>
      <c r="F5" s="71">
        <f t="shared" ref="F5:F8" si="1">+D5*100</f>
        <v>15</v>
      </c>
      <c r="G5" s="73">
        <f>+D5*20000</f>
        <v>3000</v>
      </c>
      <c r="H5" s="62" t="s">
        <v>6</v>
      </c>
      <c r="J5" t="s">
        <v>6</v>
      </c>
    </row>
    <row r="6" spans="1:10" ht="21" customHeight="1" x14ac:dyDescent="0.3">
      <c r="A6" s="10" t="s">
        <v>19</v>
      </c>
      <c r="B6" s="33" t="s">
        <v>20</v>
      </c>
      <c r="C6" s="11">
        <v>77000</v>
      </c>
      <c r="D6" s="36">
        <v>2.9999999999999997E-4</v>
      </c>
      <c r="E6" s="40">
        <f t="shared" ref="E6:E8" si="2">+C6*D6</f>
        <v>23.099999999999998</v>
      </c>
      <c r="F6" s="71">
        <f t="shared" si="1"/>
        <v>0.03</v>
      </c>
      <c r="G6" s="73">
        <f>+D6*20000</f>
        <v>5.9999999999999991</v>
      </c>
      <c r="H6" s="61" t="s">
        <v>6</v>
      </c>
    </row>
    <row r="7" spans="1:10" ht="21" customHeight="1" x14ac:dyDescent="0.3">
      <c r="A7" s="12" t="s">
        <v>10</v>
      </c>
      <c r="B7" s="34">
        <v>0.95</v>
      </c>
      <c r="C7" s="11">
        <v>13000</v>
      </c>
      <c r="D7" s="36">
        <v>0.01</v>
      </c>
      <c r="E7" s="40">
        <f t="shared" si="2"/>
        <v>130</v>
      </c>
      <c r="F7" s="71">
        <f t="shared" si="1"/>
        <v>1</v>
      </c>
      <c r="G7" s="73">
        <f>+D7*20000</f>
        <v>200</v>
      </c>
      <c r="H7" s="62" t="s">
        <v>6</v>
      </c>
    </row>
    <row r="8" spans="1:10" ht="21" customHeight="1" x14ac:dyDescent="0.3">
      <c r="A8" s="12" t="s">
        <v>11</v>
      </c>
      <c r="B8" s="34">
        <v>0.95</v>
      </c>
      <c r="C8" s="11">
        <v>4000</v>
      </c>
      <c r="D8" s="36">
        <v>0.01</v>
      </c>
      <c r="E8" s="40">
        <f t="shared" si="2"/>
        <v>40</v>
      </c>
      <c r="F8" s="71">
        <f t="shared" si="1"/>
        <v>1</v>
      </c>
      <c r="G8" s="73">
        <f>+D8*20000</f>
        <v>200</v>
      </c>
      <c r="H8" s="62" t="s">
        <v>6</v>
      </c>
      <c r="I8" s="60" t="s">
        <v>6</v>
      </c>
    </row>
    <row r="9" spans="1:10" ht="21" customHeight="1" x14ac:dyDescent="0.3">
      <c r="A9" s="13" t="s">
        <v>8</v>
      </c>
      <c r="B9" s="14"/>
      <c r="C9" s="13"/>
      <c r="D9" s="58">
        <f>SUM(D4:D8)</f>
        <v>1</v>
      </c>
      <c r="E9" s="41">
        <f>SUM(E4:E8)</f>
        <v>18647.59</v>
      </c>
      <c r="F9" s="41">
        <f>SUM(F4:F8)</f>
        <v>100</v>
      </c>
      <c r="G9" s="59">
        <f>SUM(G4:G8)</f>
        <v>20000</v>
      </c>
      <c r="H9" s="16"/>
    </row>
    <row r="10" spans="1:10" ht="21" customHeight="1" x14ac:dyDescent="0.3">
      <c r="A10" s="17" t="s">
        <v>14</v>
      </c>
      <c r="B10" s="18"/>
      <c r="C10" s="7"/>
      <c r="D10" s="43"/>
      <c r="E10" s="39">
        <v>100</v>
      </c>
      <c r="F10" s="65"/>
      <c r="G10" s="44" t="s">
        <v>6</v>
      </c>
      <c r="H10" s="19"/>
    </row>
    <row r="11" spans="1:10" ht="21" customHeight="1" x14ac:dyDescent="0.3">
      <c r="A11" s="20" t="s">
        <v>15</v>
      </c>
      <c r="B11" s="21"/>
      <c r="C11" s="10"/>
      <c r="D11" s="45"/>
      <c r="E11" s="40">
        <v>500</v>
      </c>
      <c r="F11" s="66"/>
      <c r="G11" s="46"/>
      <c r="H11" s="22"/>
    </row>
    <row r="12" spans="1:10" ht="21" customHeight="1" x14ac:dyDescent="0.3">
      <c r="A12" s="47" t="s">
        <v>16</v>
      </c>
      <c r="B12" s="48"/>
      <c r="C12" s="47"/>
      <c r="D12" s="48"/>
      <c r="E12" s="49">
        <v>0</v>
      </c>
      <c r="F12" s="67"/>
      <c r="G12" s="50" t="s">
        <v>6</v>
      </c>
      <c r="H12" s="23"/>
    </row>
    <row r="13" spans="1:10" ht="21" customHeight="1" x14ac:dyDescent="0.3">
      <c r="A13" s="13" t="s">
        <v>8</v>
      </c>
      <c r="B13" s="14"/>
      <c r="C13" s="13"/>
      <c r="D13" s="15" t="s">
        <v>6</v>
      </c>
      <c r="E13" s="41">
        <f>+E10+E11+E12</f>
        <v>600</v>
      </c>
      <c r="F13" s="64"/>
      <c r="G13" s="51">
        <f>+G9</f>
        <v>20000</v>
      </c>
      <c r="H13" s="16"/>
    </row>
    <row r="14" spans="1:10" ht="21" customHeight="1" x14ac:dyDescent="0.3">
      <c r="A14" s="24" t="s">
        <v>9</v>
      </c>
      <c r="B14" s="25"/>
      <c r="C14" s="24"/>
      <c r="D14" s="25"/>
      <c r="E14" s="42">
        <f>+E9+E13</f>
        <v>19247.59</v>
      </c>
      <c r="F14" s="68"/>
      <c r="G14" s="37"/>
      <c r="H14" s="38"/>
    </row>
    <row r="16" spans="1:10" s="57" customFormat="1" ht="24" customHeight="1" x14ac:dyDescent="0.3">
      <c r="A16" s="57" t="s">
        <v>22</v>
      </c>
      <c r="I16" s="52"/>
    </row>
    <row r="17" spans="1:9" s="54" customFormat="1" ht="24" customHeight="1" x14ac:dyDescent="0.3">
      <c r="A17" s="53" t="s">
        <v>35</v>
      </c>
      <c r="I17" s="55"/>
    </row>
    <row r="18" spans="1:9" s="54" customFormat="1" ht="24" customHeight="1" x14ac:dyDescent="0.3">
      <c r="A18" s="56" t="s">
        <v>23</v>
      </c>
      <c r="I18" s="55"/>
    </row>
    <row r="19" spans="1:9" s="26" customFormat="1" x14ac:dyDescent="0.3">
      <c r="E19" s="26" t="s">
        <v>6</v>
      </c>
      <c r="I19" s="27"/>
    </row>
    <row r="20" spans="1:9" s="26" customFormat="1" x14ac:dyDescent="0.3">
      <c r="A20" s="69" t="s">
        <v>33</v>
      </c>
      <c r="G20" s="26" t="s">
        <v>6</v>
      </c>
      <c r="I20" s="27"/>
    </row>
    <row r="21" spans="1:9" s="26" customFormat="1" ht="7.9" customHeight="1" x14ac:dyDescent="0.3">
      <c r="A21" s="69"/>
      <c r="I21" s="27"/>
    </row>
    <row r="22" spans="1:9" s="26" customFormat="1" ht="55.5" customHeight="1" x14ac:dyDescent="0.3">
      <c r="A22" s="112" t="s">
        <v>34</v>
      </c>
      <c r="B22" s="112"/>
      <c r="C22" s="112"/>
      <c r="D22" s="112"/>
      <c r="E22" s="112"/>
      <c r="F22" s="112"/>
      <c r="G22" s="112"/>
      <c r="H22" s="112"/>
      <c r="I22" s="27"/>
    </row>
    <row r="23" spans="1:9" x14ac:dyDescent="0.3">
      <c r="A23" s="28" t="s">
        <v>29</v>
      </c>
      <c r="C23" s="30"/>
      <c r="D23" s="31"/>
    </row>
    <row r="24" spans="1:9" x14ac:dyDescent="0.3">
      <c r="A24" s="28" t="s">
        <v>30</v>
      </c>
      <c r="C24" s="30"/>
      <c r="D24" s="31"/>
    </row>
    <row r="25" spans="1:9" x14ac:dyDescent="0.3">
      <c r="A25" s="28" t="s">
        <v>32</v>
      </c>
    </row>
  </sheetData>
  <mergeCells count="3">
    <mergeCell ref="A1:H1"/>
    <mergeCell ref="A2:H2"/>
    <mergeCell ref="A22:H22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ADD6-261E-4882-BEF4-94BE7AD33AA8}">
  <dimension ref="A1:I26"/>
  <sheetViews>
    <sheetView zoomScaleNormal="100" workbookViewId="0">
      <selection activeCell="P19" sqref="P19"/>
    </sheetView>
  </sheetViews>
  <sheetFormatPr defaultRowHeight="16.5" x14ac:dyDescent="0.3"/>
  <cols>
    <col min="1" max="1" width="30.25" bestFit="1" customWidth="1"/>
    <col min="2" max="2" width="16" bestFit="1" customWidth="1"/>
    <col min="3" max="3" width="7.5" bestFit="1" customWidth="1"/>
    <col min="4" max="4" width="9.25" bestFit="1" customWidth="1"/>
    <col min="5" max="5" width="9.5" bestFit="1" customWidth="1"/>
    <col min="6" max="6" width="13.125" bestFit="1" customWidth="1"/>
    <col min="7" max="7" width="15.25" bestFit="1" customWidth="1"/>
    <col min="8" max="8" width="14" style="1" bestFit="1" customWidth="1"/>
  </cols>
  <sheetData>
    <row r="1" spans="1:9" ht="30" customHeight="1" x14ac:dyDescent="0.3">
      <c r="A1" s="109" t="s">
        <v>24</v>
      </c>
      <c r="B1" s="109"/>
      <c r="C1" s="109"/>
      <c r="D1" s="109"/>
      <c r="E1" s="109"/>
      <c r="F1" s="109"/>
      <c r="G1" s="109"/>
      <c r="H1" s="96"/>
    </row>
    <row r="2" spans="1:9" ht="30" customHeight="1" x14ac:dyDescent="0.3">
      <c r="A2" s="113" t="s">
        <v>25</v>
      </c>
      <c r="B2" s="113"/>
      <c r="C2" s="113"/>
      <c r="D2" s="113"/>
      <c r="E2" s="113"/>
      <c r="F2" s="113"/>
      <c r="G2" s="113"/>
      <c r="H2" s="97"/>
    </row>
    <row r="3" spans="1:9" ht="33" customHeight="1" x14ac:dyDescent="0.3">
      <c r="A3" s="2" t="s">
        <v>0</v>
      </c>
      <c r="B3" s="3" t="s">
        <v>1</v>
      </c>
      <c r="C3" s="2" t="s">
        <v>2</v>
      </c>
      <c r="D3" s="3" t="s">
        <v>3</v>
      </c>
      <c r="E3" s="4" t="s">
        <v>4</v>
      </c>
      <c r="F3" s="5" t="s">
        <v>56</v>
      </c>
      <c r="G3" s="6" t="s">
        <v>5</v>
      </c>
    </row>
    <row r="4" spans="1:9" ht="21" customHeight="1" x14ac:dyDescent="0.3">
      <c r="A4" s="86" t="s">
        <v>36</v>
      </c>
      <c r="B4" s="87">
        <v>0.98</v>
      </c>
      <c r="C4" s="88">
        <f>+'몬스멕타(1차)'!E9</f>
        <v>18647.59</v>
      </c>
      <c r="D4" s="85">
        <v>0.1</v>
      </c>
      <c r="E4" s="89">
        <f t="shared" ref="E4" si="0">C4*D4</f>
        <v>1864.759</v>
      </c>
      <c r="F4" s="90">
        <f t="shared" ref="F4:F9" si="1">+D4*200000</f>
        <v>20000</v>
      </c>
      <c r="G4" s="91" t="s">
        <v>6</v>
      </c>
      <c r="H4" s="1" t="s">
        <v>6</v>
      </c>
      <c r="I4" t="s">
        <v>6</v>
      </c>
    </row>
    <row r="5" spans="1:9" ht="21" customHeight="1" x14ac:dyDescent="0.3">
      <c r="A5" s="10" t="s">
        <v>37</v>
      </c>
      <c r="B5" s="34">
        <v>0.9</v>
      </c>
      <c r="C5" s="11">
        <v>3000</v>
      </c>
      <c r="D5" s="75">
        <v>0.25</v>
      </c>
      <c r="E5" s="40">
        <f>+C5*D5</f>
        <v>750</v>
      </c>
      <c r="F5" s="73">
        <f t="shared" si="1"/>
        <v>50000</v>
      </c>
      <c r="G5" s="62" t="s">
        <v>6</v>
      </c>
      <c r="I5" t="s">
        <v>6</v>
      </c>
    </row>
    <row r="6" spans="1:9" ht="21" customHeight="1" x14ac:dyDescent="0.3">
      <c r="A6" s="10" t="s">
        <v>38</v>
      </c>
      <c r="B6" s="33" t="s">
        <v>6</v>
      </c>
      <c r="C6" s="11">
        <v>77000</v>
      </c>
      <c r="D6" s="75">
        <v>3.0000000000000001E-3</v>
      </c>
      <c r="E6" s="40">
        <f t="shared" ref="E6:E9" si="2">+C6*D6</f>
        <v>231</v>
      </c>
      <c r="F6" s="73">
        <f t="shared" si="1"/>
        <v>600</v>
      </c>
      <c r="G6" s="61" t="s">
        <v>6</v>
      </c>
    </row>
    <row r="7" spans="1:9" ht="21" customHeight="1" x14ac:dyDescent="0.3">
      <c r="A7" s="12" t="s">
        <v>39</v>
      </c>
      <c r="B7" s="34" t="s">
        <v>6</v>
      </c>
      <c r="C7" s="11">
        <v>10</v>
      </c>
      <c r="D7" s="75">
        <v>0.61699999999999999</v>
      </c>
      <c r="E7" s="40">
        <f t="shared" si="2"/>
        <v>6.17</v>
      </c>
      <c r="F7" s="73">
        <f t="shared" si="1"/>
        <v>123400</v>
      </c>
      <c r="G7" s="62" t="s">
        <v>6</v>
      </c>
    </row>
    <row r="8" spans="1:9" ht="21" customHeight="1" x14ac:dyDescent="0.3">
      <c r="A8" s="12" t="s">
        <v>40</v>
      </c>
      <c r="B8" s="33" t="s">
        <v>7</v>
      </c>
      <c r="C8" s="11">
        <v>8500</v>
      </c>
      <c r="D8" s="75">
        <v>0.01</v>
      </c>
      <c r="E8" s="40">
        <f t="shared" si="2"/>
        <v>85</v>
      </c>
      <c r="F8" s="73">
        <f t="shared" si="1"/>
        <v>2000</v>
      </c>
      <c r="G8" s="78" t="s">
        <v>17</v>
      </c>
      <c r="H8" s="98">
        <f>+F8+'몬스멕타(액상-200L)_3차'!F8</f>
        <v>3980</v>
      </c>
      <c r="I8" s="77">
        <f>+H8/1000</f>
        <v>3.98</v>
      </c>
    </row>
    <row r="9" spans="1:9" ht="21" customHeight="1" x14ac:dyDescent="0.3">
      <c r="A9" s="79" t="s">
        <v>44</v>
      </c>
      <c r="B9" s="80"/>
      <c r="C9" s="81">
        <v>18900</v>
      </c>
      <c r="D9" s="82">
        <v>0.02</v>
      </c>
      <c r="E9" s="49">
        <f t="shared" si="2"/>
        <v>378</v>
      </c>
      <c r="F9" s="74">
        <f t="shared" si="1"/>
        <v>4000</v>
      </c>
      <c r="G9" s="83"/>
      <c r="H9" s="60"/>
    </row>
    <row r="10" spans="1:9" ht="21" customHeight="1" x14ac:dyDescent="0.3">
      <c r="A10" s="13" t="s">
        <v>8</v>
      </c>
      <c r="B10" s="14"/>
      <c r="C10" s="13"/>
      <c r="D10" s="58">
        <f>SUM(D4:D9)</f>
        <v>1</v>
      </c>
      <c r="E10" s="41">
        <f>SUM(E4:E9)</f>
        <v>3314.9290000000001</v>
      </c>
      <c r="F10" s="59">
        <f>SUM(F4:F9)</f>
        <v>200000</v>
      </c>
      <c r="G10" s="16"/>
    </row>
    <row r="11" spans="1:9" ht="21" customHeight="1" x14ac:dyDescent="0.3">
      <c r="A11" s="17" t="s">
        <v>14</v>
      </c>
      <c r="B11" s="18"/>
      <c r="C11" s="7"/>
      <c r="D11" s="43"/>
      <c r="E11" s="39">
        <v>500</v>
      </c>
      <c r="F11" s="44" t="s">
        <v>6</v>
      </c>
      <c r="G11" s="19"/>
    </row>
    <row r="12" spans="1:9" ht="21" customHeight="1" x14ac:dyDescent="0.3">
      <c r="A12" s="20" t="s">
        <v>15</v>
      </c>
      <c r="B12" s="21"/>
      <c r="C12" s="10"/>
      <c r="D12" s="45"/>
      <c r="E12" s="40">
        <v>1000</v>
      </c>
      <c r="F12" s="46"/>
      <c r="G12" s="22"/>
    </row>
    <row r="13" spans="1:9" ht="21" customHeight="1" x14ac:dyDescent="0.3">
      <c r="A13" s="47" t="s">
        <v>16</v>
      </c>
      <c r="B13" s="48"/>
      <c r="C13" s="47"/>
      <c r="D13" s="48"/>
      <c r="E13" s="49">
        <v>0</v>
      </c>
      <c r="F13" s="50" t="s">
        <v>6</v>
      </c>
      <c r="G13" s="23"/>
    </row>
    <row r="14" spans="1:9" ht="21" customHeight="1" x14ac:dyDescent="0.3">
      <c r="A14" s="13" t="s">
        <v>8</v>
      </c>
      <c r="B14" s="14"/>
      <c r="C14" s="13"/>
      <c r="D14" s="15" t="s">
        <v>6</v>
      </c>
      <c r="E14" s="41">
        <f>+E11+E12+E13</f>
        <v>1500</v>
      </c>
      <c r="F14" s="59">
        <f>+F10</f>
        <v>200000</v>
      </c>
      <c r="G14" s="16"/>
    </row>
    <row r="15" spans="1:9" ht="21" customHeight="1" x14ac:dyDescent="0.3">
      <c r="A15" s="24" t="s">
        <v>9</v>
      </c>
      <c r="B15" s="25"/>
      <c r="C15" s="24"/>
      <c r="D15" s="25"/>
      <c r="E15" s="42">
        <f>+E10+E14</f>
        <v>4814.9290000000001</v>
      </c>
      <c r="F15" s="37"/>
      <c r="G15" s="38"/>
      <c r="H15" s="76">
        <v>2000</v>
      </c>
      <c r="I15" s="77" t="s">
        <v>6</v>
      </c>
    </row>
    <row r="17" spans="1:8" s="57" customFormat="1" ht="24" customHeight="1" x14ac:dyDescent="0.3">
      <c r="A17" s="57" t="s">
        <v>22</v>
      </c>
      <c r="H17" s="52"/>
    </row>
    <row r="18" spans="1:8" s="54" customFormat="1" ht="24" customHeight="1" x14ac:dyDescent="0.3">
      <c r="A18" s="53" t="s">
        <v>35</v>
      </c>
      <c r="H18" s="55"/>
    </row>
    <row r="19" spans="1:8" s="54" customFormat="1" ht="24" customHeight="1" x14ac:dyDescent="0.3">
      <c r="A19" s="56" t="s">
        <v>23</v>
      </c>
      <c r="H19" s="55"/>
    </row>
    <row r="20" spans="1:8" s="26" customFormat="1" x14ac:dyDescent="0.3">
      <c r="E20" s="26" t="s">
        <v>6</v>
      </c>
      <c r="H20" s="27"/>
    </row>
    <row r="21" spans="1:8" s="26" customFormat="1" x14ac:dyDescent="0.3">
      <c r="A21" s="69" t="s">
        <v>33</v>
      </c>
      <c r="F21" s="26" t="s">
        <v>6</v>
      </c>
      <c r="H21" s="27"/>
    </row>
    <row r="22" spans="1:8" s="26" customFormat="1" ht="8.25" customHeight="1" x14ac:dyDescent="0.3">
      <c r="A22" s="69"/>
      <c r="H22" s="27"/>
    </row>
    <row r="23" spans="1:8" s="26" customFormat="1" ht="55.5" customHeight="1" x14ac:dyDescent="0.3">
      <c r="A23" s="112" t="s">
        <v>51</v>
      </c>
      <c r="B23" s="112"/>
      <c r="C23" s="112"/>
      <c r="D23" s="112"/>
      <c r="E23" s="112"/>
      <c r="F23" s="112"/>
      <c r="G23" s="112"/>
      <c r="H23" s="27"/>
    </row>
    <row r="24" spans="1:8" x14ac:dyDescent="0.3">
      <c r="A24" s="112" t="s">
        <v>50</v>
      </c>
      <c r="B24" s="115"/>
      <c r="C24" s="115"/>
      <c r="D24" s="115"/>
      <c r="E24" s="115"/>
      <c r="F24" s="115"/>
      <c r="G24" s="115"/>
    </row>
    <row r="25" spans="1:8" x14ac:dyDescent="0.3">
      <c r="A25" s="115"/>
      <c r="B25" s="115"/>
      <c r="C25" s="115"/>
      <c r="D25" s="115"/>
      <c r="E25" s="115"/>
      <c r="F25" s="115"/>
      <c r="G25" s="115"/>
    </row>
    <row r="26" spans="1:8" x14ac:dyDescent="0.3">
      <c r="A26" s="115"/>
      <c r="B26" s="115"/>
      <c r="C26" s="115"/>
      <c r="D26" s="115"/>
      <c r="E26" s="115"/>
      <c r="F26" s="115"/>
      <c r="G26" s="115"/>
    </row>
  </sheetData>
  <mergeCells count="4">
    <mergeCell ref="A1:G1"/>
    <mergeCell ref="A2:G2"/>
    <mergeCell ref="A23:G23"/>
    <mergeCell ref="A24:G26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BD9F5-0B4D-4F9E-9A7A-7AE010116686}">
  <dimension ref="A1:J25"/>
  <sheetViews>
    <sheetView zoomScaleNormal="100" workbookViewId="0">
      <selection activeCell="G9" sqref="G9"/>
    </sheetView>
  </sheetViews>
  <sheetFormatPr defaultRowHeight="16.5" x14ac:dyDescent="0.3"/>
  <cols>
    <col min="1" max="1" width="30.25" bestFit="1" customWidth="1"/>
    <col min="2" max="2" width="16" bestFit="1" customWidth="1"/>
    <col min="3" max="3" width="7.5" bestFit="1" customWidth="1"/>
    <col min="4" max="4" width="9.25" bestFit="1" customWidth="1"/>
    <col min="5" max="5" width="10.5" bestFit="1" customWidth="1"/>
    <col min="6" max="6" width="9.5" customWidth="1"/>
    <col min="7" max="7" width="11.625" bestFit="1" customWidth="1"/>
    <col min="8" max="8" width="15.25" bestFit="1" customWidth="1"/>
    <col min="9" max="9" width="11.875" style="1" bestFit="1" customWidth="1"/>
  </cols>
  <sheetData>
    <row r="1" spans="1:10" ht="30" customHeight="1" x14ac:dyDescent="0.3">
      <c r="A1" s="109" t="s">
        <v>24</v>
      </c>
      <c r="B1" s="109"/>
      <c r="C1" s="109"/>
      <c r="D1" s="109"/>
      <c r="E1" s="109"/>
      <c r="F1" s="109"/>
      <c r="G1" s="109"/>
      <c r="H1" s="109"/>
    </row>
    <row r="2" spans="1:10" ht="30" customHeight="1" x14ac:dyDescent="0.3">
      <c r="A2" s="110" t="s">
        <v>25</v>
      </c>
      <c r="B2" s="111"/>
      <c r="C2" s="111"/>
      <c r="D2" s="111"/>
      <c r="E2" s="111"/>
      <c r="F2" s="111"/>
      <c r="G2" s="111"/>
      <c r="H2" s="111"/>
    </row>
    <row r="3" spans="1:10" ht="33" customHeight="1" x14ac:dyDescent="0.3">
      <c r="A3" s="2" t="s">
        <v>0</v>
      </c>
      <c r="B3" s="3" t="s">
        <v>1</v>
      </c>
      <c r="C3" s="2" t="s">
        <v>2</v>
      </c>
      <c r="D3" s="3" t="s">
        <v>3</v>
      </c>
      <c r="E3" s="4" t="s">
        <v>4</v>
      </c>
      <c r="F3" s="63" t="s">
        <v>27</v>
      </c>
      <c r="G3" s="5" t="s">
        <v>55</v>
      </c>
      <c r="H3" s="6" t="s">
        <v>5</v>
      </c>
    </row>
    <row r="4" spans="1:10" ht="21" customHeight="1" x14ac:dyDescent="0.3">
      <c r="A4" s="7" t="s">
        <v>13</v>
      </c>
      <c r="B4" s="32">
        <v>0.98</v>
      </c>
      <c r="C4" s="8">
        <v>21700</v>
      </c>
      <c r="D4" s="35">
        <v>0.82969999999999999</v>
      </c>
      <c r="E4" s="39">
        <f t="shared" ref="E4" si="0">C4*D4</f>
        <v>18004.490000000002</v>
      </c>
      <c r="F4" s="70">
        <f>+D4*100</f>
        <v>82.97</v>
      </c>
      <c r="G4" s="72">
        <f>+D4*100000</f>
        <v>82970</v>
      </c>
      <c r="H4" s="9">
        <f>+F4+G4</f>
        <v>83052.97</v>
      </c>
      <c r="I4" s="95">
        <f>+G4+'몬스멕타(4차)'!I4</f>
        <v>118188</v>
      </c>
      <c r="J4">
        <f>+I4/1000/25</f>
        <v>4.7275200000000002</v>
      </c>
    </row>
    <row r="5" spans="1:10" ht="21" customHeight="1" x14ac:dyDescent="0.3">
      <c r="A5" s="10" t="s">
        <v>12</v>
      </c>
      <c r="B5" s="34">
        <v>0.9</v>
      </c>
      <c r="C5" s="11">
        <v>3000</v>
      </c>
      <c r="D5" s="36">
        <v>0.15</v>
      </c>
      <c r="E5" s="40">
        <f>+C5*D5</f>
        <v>450</v>
      </c>
      <c r="F5" s="71">
        <f t="shared" ref="F5:F8" si="1">+D5*100</f>
        <v>15</v>
      </c>
      <c r="G5" s="73">
        <f>+D5*100000</f>
        <v>15000</v>
      </c>
      <c r="H5" s="62" t="s">
        <v>6</v>
      </c>
      <c r="J5" t="s">
        <v>6</v>
      </c>
    </row>
    <row r="6" spans="1:10" ht="21" customHeight="1" x14ac:dyDescent="0.3">
      <c r="A6" s="10" t="s">
        <v>19</v>
      </c>
      <c r="B6" s="33" t="s">
        <v>20</v>
      </c>
      <c r="C6" s="11">
        <v>77000</v>
      </c>
      <c r="D6" s="36">
        <v>2.9999999999999997E-4</v>
      </c>
      <c r="E6" s="40">
        <f t="shared" ref="E6:E8" si="2">+C6*D6</f>
        <v>23.099999999999998</v>
      </c>
      <c r="F6" s="71">
        <f t="shared" si="1"/>
        <v>0.03</v>
      </c>
      <c r="G6" s="73">
        <f>+D6*100000</f>
        <v>29.999999999999996</v>
      </c>
      <c r="H6" s="61" t="s">
        <v>6</v>
      </c>
    </row>
    <row r="7" spans="1:10" ht="21" customHeight="1" x14ac:dyDescent="0.3">
      <c r="A7" s="12" t="s">
        <v>10</v>
      </c>
      <c r="B7" s="34">
        <v>0.95</v>
      </c>
      <c r="C7" s="11">
        <v>13000</v>
      </c>
      <c r="D7" s="36">
        <v>0.01</v>
      </c>
      <c r="E7" s="40">
        <f t="shared" si="2"/>
        <v>130</v>
      </c>
      <c r="F7" s="71">
        <f t="shared" si="1"/>
        <v>1</v>
      </c>
      <c r="G7" s="73">
        <f>+D7*100000</f>
        <v>1000</v>
      </c>
      <c r="H7" s="62" t="s">
        <v>6</v>
      </c>
    </row>
    <row r="8" spans="1:10" ht="21" customHeight="1" x14ac:dyDescent="0.3">
      <c r="A8" s="12" t="s">
        <v>11</v>
      </c>
      <c r="B8" s="34">
        <v>0.95</v>
      </c>
      <c r="C8" s="11">
        <v>4000</v>
      </c>
      <c r="D8" s="36">
        <v>0.01</v>
      </c>
      <c r="E8" s="40">
        <f t="shared" si="2"/>
        <v>40</v>
      </c>
      <c r="F8" s="71">
        <f t="shared" si="1"/>
        <v>1</v>
      </c>
      <c r="G8" s="73">
        <f>+D8*100000</f>
        <v>1000</v>
      </c>
      <c r="H8" s="62" t="s">
        <v>6</v>
      </c>
      <c r="I8" s="60" t="s">
        <v>6</v>
      </c>
    </row>
    <row r="9" spans="1:10" ht="21" customHeight="1" x14ac:dyDescent="0.3">
      <c r="A9" s="13" t="s">
        <v>8</v>
      </c>
      <c r="B9" s="14"/>
      <c r="C9" s="13"/>
      <c r="D9" s="58">
        <f>SUM(D4:D8)</f>
        <v>1</v>
      </c>
      <c r="E9" s="41">
        <f>SUM(E4:E8)</f>
        <v>18647.59</v>
      </c>
      <c r="F9" s="41">
        <f>SUM(F4:F8)</f>
        <v>100</v>
      </c>
      <c r="G9" s="59">
        <f>SUM(G4:G8)</f>
        <v>100000</v>
      </c>
      <c r="H9" s="16"/>
    </row>
    <row r="10" spans="1:10" ht="21" customHeight="1" x14ac:dyDescent="0.3">
      <c r="A10" s="17" t="s">
        <v>14</v>
      </c>
      <c r="B10" s="18"/>
      <c r="C10" s="7"/>
      <c r="D10" s="43"/>
      <c r="E10" s="39">
        <v>100</v>
      </c>
      <c r="F10" s="65"/>
      <c r="G10" s="44" t="s">
        <v>6</v>
      </c>
      <c r="H10" s="19"/>
    </row>
    <row r="11" spans="1:10" ht="21" customHeight="1" x14ac:dyDescent="0.3">
      <c r="A11" s="20" t="s">
        <v>15</v>
      </c>
      <c r="B11" s="21"/>
      <c r="C11" s="10"/>
      <c r="D11" s="45"/>
      <c r="E11" s="40">
        <v>500</v>
      </c>
      <c r="F11" s="66"/>
      <c r="G11" s="46"/>
      <c r="H11" s="22"/>
    </row>
    <row r="12" spans="1:10" ht="21" customHeight="1" x14ac:dyDescent="0.3">
      <c r="A12" s="47" t="s">
        <v>16</v>
      </c>
      <c r="B12" s="48"/>
      <c r="C12" s="47"/>
      <c r="D12" s="48"/>
      <c r="E12" s="49">
        <v>0</v>
      </c>
      <c r="F12" s="67"/>
      <c r="G12" s="50" t="s">
        <v>6</v>
      </c>
      <c r="H12" s="23"/>
    </row>
    <row r="13" spans="1:10" ht="21" customHeight="1" x14ac:dyDescent="0.3">
      <c r="A13" s="13" t="s">
        <v>8</v>
      </c>
      <c r="B13" s="14"/>
      <c r="C13" s="13"/>
      <c r="D13" s="15" t="s">
        <v>6</v>
      </c>
      <c r="E13" s="41">
        <f>+E10+E11+E12</f>
        <v>600</v>
      </c>
      <c r="F13" s="64"/>
      <c r="G13" s="51">
        <f>+G9</f>
        <v>100000</v>
      </c>
      <c r="H13" s="16"/>
    </row>
    <row r="14" spans="1:10" ht="21" customHeight="1" x14ac:dyDescent="0.3">
      <c r="A14" s="24" t="s">
        <v>9</v>
      </c>
      <c r="B14" s="25"/>
      <c r="C14" s="24"/>
      <c r="D14" s="25"/>
      <c r="E14" s="42">
        <f>+E9+E13</f>
        <v>19247.59</v>
      </c>
      <c r="F14" s="68"/>
      <c r="G14" s="37"/>
      <c r="H14" s="38"/>
    </row>
    <row r="16" spans="1:10" s="57" customFormat="1" ht="24" customHeight="1" x14ac:dyDescent="0.3">
      <c r="A16" s="57" t="s">
        <v>22</v>
      </c>
      <c r="I16" s="52"/>
    </row>
    <row r="17" spans="1:9" s="54" customFormat="1" ht="24" customHeight="1" x14ac:dyDescent="0.3">
      <c r="A17" s="53" t="s">
        <v>35</v>
      </c>
      <c r="I17" s="55"/>
    </row>
    <row r="18" spans="1:9" s="54" customFormat="1" ht="24" customHeight="1" x14ac:dyDescent="0.3">
      <c r="A18" s="56" t="s">
        <v>23</v>
      </c>
      <c r="I18" s="55"/>
    </row>
    <row r="19" spans="1:9" s="26" customFormat="1" x14ac:dyDescent="0.3">
      <c r="E19" s="26" t="s">
        <v>6</v>
      </c>
      <c r="I19" s="27"/>
    </row>
    <row r="20" spans="1:9" s="26" customFormat="1" x14ac:dyDescent="0.3">
      <c r="A20" s="69" t="s">
        <v>33</v>
      </c>
      <c r="G20" s="26" t="s">
        <v>6</v>
      </c>
      <c r="I20" s="27"/>
    </row>
    <row r="21" spans="1:9" s="26" customFormat="1" ht="7.9" customHeight="1" x14ac:dyDescent="0.3">
      <c r="A21" s="69"/>
      <c r="I21" s="27"/>
    </row>
    <row r="22" spans="1:9" s="26" customFormat="1" ht="55.5" customHeight="1" x14ac:dyDescent="0.3">
      <c r="A22" s="112" t="s">
        <v>34</v>
      </c>
      <c r="B22" s="112"/>
      <c r="C22" s="112"/>
      <c r="D22" s="112"/>
      <c r="E22" s="112"/>
      <c r="F22" s="112"/>
      <c r="G22" s="112"/>
      <c r="H22" s="112"/>
      <c r="I22" s="27"/>
    </row>
    <row r="23" spans="1:9" x14ac:dyDescent="0.3">
      <c r="A23" s="28" t="s">
        <v>29</v>
      </c>
      <c r="C23" s="30"/>
      <c r="D23" s="31"/>
    </row>
    <row r="24" spans="1:9" x14ac:dyDescent="0.3">
      <c r="A24" s="28" t="s">
        <v>30</v>
      </c>
      <c r="C24" s="30"/>
      <c r="D24" s="31"/>
    </row>
    <row r="25" spans="1:9" x14ac:dyDescent="0.3">
      <c r="A25" s="28" t="s">
        <v>32</v>
      </c>
    </row>
  </sheetData>
  <mergeCells count="3">
    <mergeCell ref="A1:H1"/>
    <mergeCell ref="A2:H2"/>
    <mergeCell ref="A22:H22"/>
  </mergeCells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7A76B-7CD0-42C9-AA89-4A53ECFBD9F8}">
  <dimension ref="A1:I26"/>
  <sheetViews>
    <sheetView zoomScaleNormal="100" workbookViewId="0">
      <selection activeCell="K20" sqref="K20"/>
    </sheetView>
  </sheetViews>
  <sheetFormatPr defaultRowHeight="16.5" x14ac:dyDescent="0.3"/>
  <cols>
    <col min="1" max="1" width="30.25" bestFit="1" customWidth="1"/>
    <col min="2" max="2" width="16" bestFit="1" customWidth="1"/>
    <col min="3" max="3" width="7.5" bestFit="1" customWidth="1"/>
    <col min="4" max="4" width="9.25" bestFit="1" customWidth="1"/>
    <col min="5" max="5" width="9.5" bestFit="1" customWidth="1"/>
    <col min="6" max="6" width="13.125" bestFit="1" customWidth="1"/>
    <col min="7" max="7" width="15.25" bestFit="1" customWidth="1"/>
    <col min="8" max="8" width="15.125" style="1" customWidth="1"/>
  </cols>
  <sheetData>
    <row r="1" spans="1:9" ht="30" customHeight="1" x14ac:dyDescent="0.3">
      <c r="A1" s="109" t="s">
        <v>24</v>
      </c>
      <c r="B1" s="109"/>
      <c r="C1" s="109"/>
      <c r="D1" s="109"/>
      <c r="E1" s="109"/>
      <c r="F1" s="109"/>
      <c r="G1" s="109"/>
      <c r="H1" s="96"/>
    </row>
    <row r="2" spans="1:9" ht="30" customHeight="1" x14ac:dyDescent="0.3">
      <c r="A2" s="113" t="s">
        <v>25</v>
      </c>
      <c r="B2" s="113"/>
      <c r="C2" s="113"/>
      <c r="D2" s="113"/>
      <c r="E2" s="113"/>
      <c r="F2" s="113"/>
      <c r="G2" s="113"/>
      <c r="H2" s="97"/>
    </row>
    <row r="3" spans="1:9" ht="33" customHeight="1" x14ac:dyDescent="0.3">
      <c r="A3" s="2" t="s">
        <v>0</v>
      </c>
      <c r="B3" s="3" t="s">
        <v>1</v>
      </c>
      <c r="C3" s="2" t="s">
        <v>2</v>
      </c>
      <c r="D3" s="3" t="s">
        <v>3</v>
      </c>
      <c r="E3" s="4" t="s">
        <v>4</v>
      </c>
      <c r="F3" s="5" t="s">
        <v>54</v>
      </c>
      <c r="G3" s="6" t="s">
        <v>5</v>
      </c>
    </row>
    <row r="4" spans="1:9" ht="21" customHeight="1" x14ac:dyDescent="0.3">
      <c r="A4" s="86" t="s">
        <v>36</v>
      </c>
      <c r="B4" s="87">
        <v>0.98</v>
      </c>
      <c r="C4" s="88">
        <f>+'몬스멕타(1차)'!E9</f>
        <v>18647.59</v>
      </c>
      <c r="D4" s="85">
        <v>0.1</v>
      </c>
      <c r="E4" s="89">
        <f t="shared" ref="E4" si="0">C4*D4</f>
        <v>1864.759</v>
      </c>
      <c r="F4" s="90">
        <f t="shared" ref="F4:F9" si="1">+D4*1000000</f>
        <v>100000</v>
      </c>
      <c r="G4" s="91" t="s">
        <v>6</v>
      </c>
      <c r="H4" s="1" t="s">
        <v>6</v>
      </c>
      <c r="I4" t="s">
        <v>6</v>
      </c>
    </row>
    <row r="5" spans="1:9" ht="21" customHeight="1" x14ac:dyDescent="0.3">
      <c r="A5" s="10" t="s">
        <v>37</v>
      </c>
      <c r="B5" s="34">
        <v>0.9</v>
      </c>
      <c r="C5" s="11">
        <v>3000</v>
      </c>
      <c r="D5" s="75">
        <v>0.25</v>
      </c>
      <c r="E5" s="40">
        <f>+C5*D5</f>
        <v>750</v>
      </c>
      <c r="F5" s="73">
        <f t="shared" si="1"/>
        <v>250000</v>
      </c>
      <c r="G5" s="62" t="s">
        <v>6</v>
      </c>
      <c r="I5" t="s">
        <v>6</v>
      </c>
    </row>
    <row r="6" spans="1:9" ht="21" customHeight="1" x14ac:dyDescent="0.3">
      <c r="A6" s="10" t="s">
        <v>38</v>
      </c>
      <c r="B6" s="33" t="s">
        <v>6</v>
      </c>
      <c r="C6" s="11">
        <v>77000</v>
      </c>
      <c r="D6" s="75">
        <v>3.0000000000000001E-3</v>
      </c>
      <c r="E6" s="40">
        <f t="shared" ref="E6:E9" si="2">+C6*D6</f>
        <v>231</v>
      </c>
      <c r="F6" s="73">
        <f t="shared" si="1"/>
        <v>3000</v>
      </c>
      <c r="G6" s="61" t="s">
        <v>6</v>
      </c>
    </row>
    <row r="7" spans="1:9" ht="21" customHeight="1" x14ac:dyDescent="0.3">
      <c r="A7" s="12" t="s">
        <v>39</v>
      </c>
      <c r="B7" s="34" t="s">
        <v>6</v>
      </c>
      <c r="C7" s="11">
        <v>10</v>
      </c>
      <c r="D7" s="75">
        <v>0.61699999999999999</v>
      </c>
      <c r="E7" s="40">
        <f t="shared" si="2"/>
        <v>6.17</v>
      </c>
      <c r="F7" s="73">
        <f t="shared" si="1"/>
        <v>617000</v>
      </c>
      <c r="G7" s="62" t="s">
        <v>6</v>
      </c>
    </row>
    <row r="8" spans="1:9" ht="21" customHeight="1" x14ac:dyDescent="0.3">
      <c r="A8" s="12" t="s">
        <v>40</v>
      </c>
      <c r="B8" s="33" t="s">
        <v>7</v>
      </c>
      <c r="C8" s="11">
        <v>8500</v>
      </c>
      <c r="D8" s="75">
        <v>0.01</v>
      </c>
      <c r="E8" s="40">
        <f t="shared" si="2"/>
        <v>85</v>
      </c>
      <c r="F8" s="73">
        <f t="shared" si="1"/>
        <v>10000</v>
      </c>
      <c r="G8" s="78" t="s">
        <v>17</v>
      </c>
      <c r="H8" s="98">
        <f>+'몬스멕타(액상-200L)_4차'!H8+'몬스멕타(액상-1,000L)_5차'!F8</f>
        <v>13980</v>
      </c>
      <c r="I8" s="77">
        <f>+H8/1000</f>
        <v>13.98</v>
      </c>
    </row>
    <row r="9" spans="1:9" ht="21" customHeight="1" x14ac:dyDescent="0.3">
      <c r="A9" s="79" t="s">
        <v>44</v>
      </c>
      <c r="B9" s="80"/>
      <c r="C9" s="81">
        <v>18900</v>
      </c>
      <c r="D9" s="82">
        <v>0.02</v>
      </c>
      <c r="E9" s="49">
        <f t="shared" si="2"/>
        <v>378</v>
      </c>
      <c r="F9" s="74">
        <f t="shared" si="1"/>
        <v>20000</v>
      </c>
      <c r="G9" s="83"/>
      <c r="H9" s="60"/>
    </row>
    <row r="10" spans="1:9" ht="21" customHeight="1" x14ac:dyDescent="0.3">
      <c r="A10" s="13" t="s">
        <v>8</v>
      </c>
      <c r="B10" s="14"/>
      <c r="C10" s="13"/>
      <c r="D10" s="58">
        <f>SUM(D4:D9)</f>
        <v>1</v>
      </c>
      <c r="E10" s="41">
        <f>SUM(E4:E9)</f>
        <v>3314.9290000000001</v>
      </c>
      <c r="F10" s="59">
        <f>SUM(F4:F9)</f>
        <v>1000000</v>
      </c>
      <c r="G10" s="16"/>
    </row>
    <row r="11" spans="1:9" ht="21" customHeight="1" x14ac:dyDescent="0.3">
      <c r="A11" s="17" t="s">
        <v>14</v>
      </c>
      <c r="B11" s="18"/>
      <c r="C11" s="7"/>
      <c r="D11" s="43"/>
      <c r="E11" s="39">
        <v>500</v>
      </c>
      <c r="F11" s="44" t="s">
        <v>6</v>
      </c>
      <c r="G11" s="19"/>
    </row>
    <row r="12" spans="1:9" ht="21" customHeight="1" x14ac:dyDescent="0.3">
      <c r="A12" s="20" t="s">
        <v>15</v>
      </c>
      <c r="B12" s="21"/>
      <c r="C12" s="10"/>
      <c r="D12" s="45"/>
      <c r="E12" s="40">
        <v>1000</v>
      </c>
      <c r="F12" s="46"/>
      <c r="G12" s="22"/>
    </row>
    <row r="13" spans="1:9" ht="21" customHeight="1" x14ac:dyDescent="0.3">
      <c r="A13" s="47" t="s">
        <v>16</v>
      </c>
      <c r="B13" s="48"/>
      <c r="C13" s="47"/>
      <c r="D13" s="48"/>
      <c r="E13" s="49">
        <v>0</v>
      </c>
      <c r="F13" s="50" t="s">
        <v>6</v>
      </c>
      <c r="G13" s="23"/>
    </row>
    <row r="14" spans="1:9" ht="21" customHeight="1" x14ac:dyDescent="0.3">
      <c r="A14" s="13" t="s">
        <v>8</v>
      </c>
      <c r="B14" s="14"/>
      <c r="C14" s="13"/>
      <c r="D14" s="15" t="s">
        <v>6</v>
      </c>
      <c r="E14" s="41">
        <f>+E11+E12+E13</f>
        <v>1500</v>
      </c>
      <c r="F14" s="59">
        <f>+F10</f>
        <v>1000000</v>
      </c>
      <c r="G14" s="16"/>
    </row>
    <row r="15" spans="1:9" ht="21" customHeight="1" x14ac:dyDescent="0.3">
      <c r="A15" s="24" t="s">
        <v>9</v>
      </c>
      <c r="B15" s="25"/>
      <c r="C15" s="24"/>
      <c r="D15" s="25"/>
      <c r="E15" s="42">
        <f>+E10+E14</f>
        <v>4814.9290000000001</v>
      </c>
      <c r="F15" s="37"/>
      <c r="G15" s="38"/>
      <c r="H15" s="76">
        <v>10000</v>
      </c>
      <c r="I15" s="77" t="s">
        <v>6</v>
      </c>
    </row>
    <row r="17" spans="1:8" s="57" customFormat="1" ht="24" customHeight="1" x14ac:dyDescent="0.3">
      <c r="A17" s="57" t="s">
        <v>22</v>
      </c>
      <c r="H17" s="52"/>
    </row>
    <row r="18" spans="1:8" s="54" customFormat="1" ht="24" customHeight="1" x14ac:dyDescent="0.3">
      <c r="A18" s="53" t="s">
        <v>35</v>
      </c>
      <c r="H18" s="55"/>
    </row>
    <row r="19" spans="1:8" s="54" customFormat="1" ht="24" customHeight="1" x14ac:dyDescent="0.3">
      <c r="A19" s="56" t="s">
        <v>23</v>
      </c>
      <c r="H19" s="55"/>
    </row>
    <row r="20" spans="1:8" s="26" customFormat="1" x14ac:dyDescent="0.3">
      <c r="E20" s="26" t="s">
        <v>6</v>
      </c>
      <c r="H20" s="27"/>
    </row>
    <row r="21" spans="1:8" s="26" customFormat="1" x14ac:dyDescent="0.3">
      <c r="A21" s="69" t="s">
        <v>33</v>
      </c>
      <c r="F21" s="26" t="s">
        <v>6</v>
      </c>
      <c r="H21" s="27"/>
    </row>
    <row r="22" spans="1:8" s="26" customFormat="1" ht="8.25" customHeight="1" x14ac:dyDescent="0.3">
      <c r="A22" s="69"/>
      <c r="H22" s="27"/>
    </row>
    <row r="23" spans="1:8" s="26" customFormat="1" ht="55.5" customHeight="1" x14ac:dyDescent="0.3">
      <c r="A23" s="112" t="s">
        <v>51</v>
      </c>
      <c r="B23" s="112"/>
      <c r="C23" s="112"/>
      <c r="D23" s="112"/>
      <c r="E23" s="112"/>
      <c r="F23" s="112"/>
      <c r="G23" s="112"/>
      <c r="H23" s="27"/>
    </row>
    <row r="24" spans="1:8" x14ac:dyDescent="0.3">
      <c r="A24" s="112" t="s">
        <v>50</v>
      </c>
      <c r="B24" s="115"/>
      <c r="C24" s="115"/>
      <c r="D24" s="115"/>
      <c r="E24" s="115"/>
      <c r="F24" s="115"/>
      <c r="G24" s="115"/>
    </row>
    <row r="25" spans="1:8" x14ac:dyDescent="0.3">
      <c r="A25" s="115"/>
      <c r="B25" s="115"/>
      <c r="C25" s="115"/>
      <c r="D25" s="115"/>
      <c r="E25" s="115"/>
      <c r="F25" s="115"/>
      <c r="G25" s="115"/>
    </row>
    <row r="26" spans="1:8" x14ac:dyDescent="0.3">
      <c r="A26" s="115"/>
      <c r="B26" s="115"/>
      <c r="C26" s="115"/>
      <c r="D26" s="115"/>
      <c r="E26" s="115"/>
      <c r="F26" s="115"/>
      <c r="G26" s="115"/>
    </row>
  </sheetData>
  <mergeCells count="4">
    <mergeCell ref="A1:G1"/>
    <mergeCell ref="A2:G2"/>
    <mergeCell ref="A23:G23"/>
    <mergeCell ref="A24:G26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versions xmlns="http://schemas.microsoft.com/SolverFoundationForExcel/Version">
  <addinversion>2.0</addinversion>
</versions>
</file>

<file path=customXml/item2.xml>��  
</file>

<file path=customXml/itemProps1.xml><?xml version="1.0" encoding="utf-8"?>
<ds:datastoreItem xmlns:ds="http://schemas.openxmlformats.org/officeDocument/2006/customXml" ds:itemID="{346E0F69-970F-4C7E-B71E-04303A1CF889}">
  <ds:schemaRefs>
    <ds:schemaRef ds:uri="http://schemas.microsoft.com/SolverFoundationForExcel/Version"/>
  </ds:schemaRefs>
</ds:datastoreItem>
</file>

<file path=customXml/itemProps2.xml><?xml version="1.0" encoding="utf-8"?>
<ds:datastoreItem xmlns:ds="http://schemas.openxmlformats.org/officeDocument/2006/customXml" ds:itemID="{AD1E87F3-AF03-4FFF-9094-00F44089A1D4}">
  <ds:schemaRefs>
    <ds:schemaRef ds:uri="http://schemas.microsoft.com/SolverFoundation/"/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몬스멕타(가루)</vt:lpstr>
      <vt:lpstr>몬스멕타(1차)</vt:lpstr>
      <vt:lpstr>로타겔(액상-30L)_1차</vt:lpstr>
      <vt:lpstr>몬스멕타(2차)</vt:lpstr>
      <vt:lpstr>몬스멕타(액상-20L)_2차</vt:lpstr>
      <vt:lpstr>몬스멕타(3차)</vt:lpstr>
      <vt:lpstr>몬스멕타(액상-200L)_3차</vt:lpstr>
      <vt:lpstr>몬스멕타(4차)</vt:lpstr>
      <vt:lpstr>몬스멕타(액상-200L)_4차</vt:lpstr>
      <vt:lpstr>몬스멕타(5차)</vt:lpstr>
      <vt:lpstr>몬스멕타(액상-1,000L)_5차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Hong</dc:creator>
  <cp:lastModifiedBy>HongJessica</cp:lastModifiedBy>
  <dcterms:created xsi:type="dcterms:W3CDTF">2025-12-27T04:02:48Z</dcterms:created>
  <dcterms:modified xsi:type="dcterms:W3CDTF">2026-07-20T00:05:22Z</dcterms:modified>
</cp:coreProperties>
</file>